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Schwager\source\repos\blocks\nim\doc\"/>
    </mc:Choice>
  </mc:AlternateContent>
  <xr:revisionPtr revIDLastSave="0" documentId="13_ncr:1_{275FA082-9341-4CC0-9FC8-F67549E06941}" xr6:coauthVersionLast="47" xr6:coauthVersionMax="47" xr10:uidLastSave="{00000000-0000-0000-0000-000000000000}"/>
  <bookViews>
    <workbookView xWindow="-23133" yWindow="-93" windowWidth="23226" windowHeight="14586" xr2:uid="{8899B5A2-91EA-45CD-B151-2FB1913B8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S13" i="1" s="1"/>
  <c r="G14" i="1"/>
  <c r="J14" i="1" s="1"/>
  <c r="L14" i="1" s="1"/>
  <c r="G15" i="1"/>
  <c r="O15" i="1" s="1"/>
  <c r="G16" i="1"/>
  <c r="O16" i="1" s="1"/>
  <c r="I16" i="1"/>
  <c r="G12" i="1"/>
  <c r="I12" i="1" s="1"/>
  <c r="G11" i="1"/>
  <c r="I11" i="1" s="1"/>
  <c r="G10" i="1"/>
  <c r="O10" i="1" s="1"/>
  <c r="G9" i="1"/>
  <c r="O9" i="1" s="1"/>
  <c r="G8" i="1"/>
  <c r="I8" i="1" s="1"/>
  <c r="G7" i="1"/>
  <c r="S7" i="1" s="1"/>
  <c r="T7" i="1" s="1"/>
  <c r="G6" i="1"/>
  <c r="I6" i="1" s="1"/>
  <c r="J6" i="1" s="1"/>
  <c r="S14" i="1" l="1"/>
  <c r="I15" i="1"/>
  <c r="I13" i="1"/>
  <c r="O13" i="1"/>
  <c r="Q14" i="1"/>
  <c r="K6" i="1"/>
  <c r="P13" i="1"/>
  <c r="S15" i="1"/>
  <c r="M14" i="1"/>
  <c r="T13" i="1"/>
  <c r="T14" i="1"/>
  <c r="U14" i="1" s="1"/>
  <c r="T15" i="1"/>
  <c r="J15" i="1"/>
  <c r="K15" i="1" s="1"/>
  <c r="J13" i="1"/>
  <c r="K13" i="1" s="1"/>
  <c r="S16" i="1"/>
  <c r="U13" i="1"/>
  <c r="V13" i="1" s="1"/>
  <c r="J16" i="1"/>
  <c r="K16" i="1" s="1"/>
  <c r="V14" i="1"/>
  <c r="P16" i="1"/>
  <c r="I14" i="1"/>
  <c r="K14" i="1" s="1"/>
  <c r="J7" i="1"/>
  <c r="L7" i="1" s="1"/>
  <c r="P7" i="1"/>
  <c r="P15" i="1"/>
  <c r="P14" i="1"/>
  <c r="O14" i="1"/>
  <c r="J9" i="1"/>
  <c r="L9" i="1" s="1"/>
  <c r="J10" i="1"/>
  <c r="L10" i="1" s="1"/>
  <c r="J11" i="1"/>
  <c r="K11" i="1" s="1"/>
  <c r="P9" i="1"/>
  <c r="L6" i="1"/>
  <c r="J8" i="1"/>
  <c r="K8" i="1" s="1"/>
  <c r="J12" i="1"/>
  <c r="P8" i="1"/>
  <c r="P10" i="1"/>
  <c r="P11" i="1"/>
  <c r="P12" i="1"/>
  <c r="U7" i="1"/>
  <c r="S9" i="1"/>
  <c r="S10" i="1"/>
  <c r="O12" i="1"/>
  <c r="I10" i="1"/>
  <c r="O8" i="1"/>
  <c r="S8" i="1"/>
  <c r="O6" i="1"/>
  <c r="P6" i="1" s="1"/>
  <c r="S6" i="1"/>
  <c r="T6" i="1" s="1"/>
  <c r="I9" i="1"/>
  <c r="O7" i="1"/>
  <c r="S12" i="1"/>
  <c r="I7" i="1"/>
  <c r="S11" i="1"/>
  <c r="O11" i="1"/>
  <c r="Y14" i="1" l="1"/>
  <c r="K10" i="1"/>
  <c r="K9" i="1"/>
  <c r="L12" i="1"/>
  <c r="K12" i="1"/>
  <c r="M7" i="1"/>
  <c r="M6" i="1"/>
  <c r="Y6" i="1" s="1"/>
  <c r="Q6" i="1"/>
  <c r="M10" i="1"/>
  <c r="X14" i="1"/>
  <c r="K7" i="1"/>
  <c r="Q7" i="1" s="1"/>
  <c r="M9" i="1"/>
  <c r="Q9" i="1"/>
  <c r="U15" i="1"/>
  <c r="V15" i="1" s="1"/>
  <c r="L13" i="1"/>
  <c r="L15" i="1"/>
  <c r="Q15" i="1" s="1"/>
  <c r="L8" i="1"/>
  <c r="L11" i="1"/>
  <c r="T10" i="1"/>
  <c r="U10" i="1" s="1"/>
  <c r="V10" i="1" s="1"/>
  <c r="T12" i="1"/>
  <c r="U12" i="1" s="1"/>
  <c r="V12" i="1" s="1"/>
  <c r="T11" i="1"/>
  <c r="U11" i="1" s="1"/>
  <c r="V11" i="1" s="1"/>
  <c r="T9" i="1"/>
  <c r="U6" i="1"/>
  <c r="V6" i="1" s="1"/>
  <c r="T16" i="1"/>
  <c r="U16" i="1" s="1"/>
  <c r="T8" i="1"/>
  <c r="U8" i="1" s="1"/>
  <c r="V7" i="1"/>
  <c r="V8" i="1"/>
  <c r="L16" i="1"/>
  <c r="Q16" i="1" s="1"/>
  <c r="U9" i="1" l="1"/>
  <c r="V9" i="1" s="1"/>
  <c r="Y9" i="1" s="1"/>
  <c r="Q10" i="1"/>
  <c r="Y10" i="1"/>
  <c r="Y7" i="1"/>
  <c r="M8" i="1"/>
  <c r="Y8" i="1" s="1"/>
  <c r="Q8" i="1"/>
  <c r="M11" i="1"/>
  <c r="Y11" i="1" s="1"/>
  <c r="M13" i="1"/>
  <c r="Y13" i="1" s="1"/>
  <c r="Q13" i="1"/>
  <c r="M12" i="1"/>
  <c r="Y12" i="1" s="1"/>
  <c r="Q12" i="1"/>
  <c r="X7" i="1"/>
  <c r="M16" i="1"/>
  <c r="M15" i="1"/>
  <c r="Y15" i="1" s="1"/>
  <c r="V16" i="1"/>
  <c r="Y16" i="1" l="1"/>
  <c r="Q11" i="1"/>
  <c r="X11" i="1"/>
  <c r="X9" i="1"/>
  <c r="X8" i="1"/>
  <c r="X15" i="1"/>
  <c r="X12" i="1"/>
  <c r="X10" i="1"/>
  <c r="X16" i="1"/>
  <c r="X13" i="1"/>
  <c r="X6" i="1"/>
</calcChain>
</file>

<file path=xl/sharedStrings.xml><?xml version="1.0" encoding="utf-8"?>
<sst xmlns="http://schemas.openxmlformats.org/spreadsheetml/2006/main" count="21" uniqueCount="13">
  <si>
    <t>spaceX</t>
  </si>
  <si>
    <t>div</t>
  </si>
  <si>
    <t>logstep</t>
  </si>
  <si>
    <t>stpscale</t>
  </si>
  <si>
    <t>zero?</t>
  </si>
  <si>
    <t>Final</t>
  </si>
  <si>
    <t>ratio2</t>
  </si>
  <si>
    <t>Tiny</t>
  </si>
  <si>
    <t>Natural</t>
  </si>
  <si>
    <t>Rnd</t>
  </si>
  <si>
    <t>Rnded?</t>
  </si>
  <si>
    <t>Major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</si>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</sst>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1DAF-ADB0-4F8E-A039-D98BE02EACDF}">
  <dimension ref="C4:AE16"/>
  <sheetViews>
    <sheetView tabSelected="1" zoomScale="115" zoomScaleNormal="115" workbookViewId="0">
      <selection activeCell="D7" sqref="D7"/>
    </sheetView>
  </sheetViews>
  <sheetFormatPr defaultRowHeight="14.5" x14ac:dyDescent="0.35"/>
  <cols>
    <col min="8" max="8" width="6.81640625" customWidth="1"/>
    <col min="9" max="16" width="6.81640625" style="1" customWidth="1"/>
    <col min="19" max="23" width="6.81640625" style="1" customWidth="1"/>
  </cols>
  <sheetData>
    <row r="4" spans="3:25" x14ac:dyDescent="0.35">
      <c r="I4" s="3" t="s">
        <v>12</v>
      </c>
      <c r="J4" s="3"/>
      <c r="K4" s="3"/>
      <c r="L4" s="3"/>
      <c r="M4" s="3"/>
      <c r="O4" s="3" t="s">
        <v>11</v>
      </c>
      <c r="P4" s="3"/>
      <c r="Q4" s="3"/>
      <c r="R4" s="1"/>
      <c r="S4" s="3" t="s">
        <v>7</v>
      </c>
      <c r="T4" s="3"/>
      <c r="U4" s="3"/>
      <c r="V4" s="3"/>
    </row>
    <row r="5" spans="3:25" x14ac:dyDescent="0.35">
      <c r="C5" t="s">
        <v>0</v>
      </c>
      <c r="D5">
        <v>160</v>
      </c>
      <c r="F5" t="s">
        <v>2</v>
      </c>
      <c r="G5" t="s">
        <v>3</v>
      </c>
      <c r="I5" s="1" t="s">
        <v>8</v>
      </c>
      <c r="J5" s="1" t="s">
        <v>9</v>
      </c>
      <c r="K5" s="1" t="s">
        <v>10</v>
      </c>
      <c r="L5" s="1" t="s">
        <v>4</v>
      </c>
      <c r="M5" s="1" t="s">
        <v>5</v>
      </c>
      <c r="O5" s="1" t="s">
        <v>8</v>
      </c>
      <c r="P5" s="1" t="s">
        <v>9</v>
      </c>
      <c r="Q5" s="1" t="s">
        <v>5</v>
      </c>
      <c r="R5" s="1"/>
      <c r="S5" s="1" t="s">
        <v>8</v>
      </c>
      <c r="T5" s="1" t="s">
        <v>9</v>
      </c>
      <c r="U5" s="1" t="s">
        <v>4</v>
      </c>
      <c r="V5" s="1" t="s">
        <v>5</v>
      </c>
      <c r="X5" t="s">
        <v>6</v>
      </c>
      <c r="Y5" t="s">
        <v>6</v>
      </c>
    </row>
    <row r="6" spans="3:25" x14ac:dyDescent="0.35">
      <c r="C6" t="s">
        <v>1</v>
      </c>
      <c r="D6">
        <v>5</v>
      </c>
      <c r="F6">
        <v>-3</v>
      </c>
      <c r="G6">
        <f>$D$6^-F6</f>
        <v>125</v>
      </c>
      <c r="I6" s="2">
        <f t="shared" ref="I6:I16" si="0">$D$5*$G6/$D$6</f>
        <v>4000</v>
      </c>
      <c r="J6" s="2">
        <f>ROUND(I6,0)</f>
        <v>4000</v>
      </c>
      <c r="K6" s="2" t="b">
        <f>I6&lt;&gt;J6</f>
        <v>0</v>
      </c>
      <c r="L6" s="2" t="b">
        <f>J6=0</f>
        <v>0</v>
      </c>
      <c r="M6" s="2">
        <f>IF(L6,1,J6)</f>
        <v>4000</v>
      </c>
      <c r="N6" s="2"/>
      <c r="O6" s="2">
        <f t="shared" ref="O6:O16" si="1">$D$5*$G6</f>
        <v>20000</v>
      </c>
      <c r="P6" s="2">
        <f>ROUND(O6,0)</f>
        <v>20000</v>
      </c>
      <c r="Q6" s="2">
        <f>IF(L6,1,IF(K6,M6*$D$6,P6))</f>
        <v>20000</v>
      </c>
      <c r="R6" s="2"/>
      <c r="S6" s="2">
        <f t="shared" ref="S6:S16" si="2">$D$5*$G6/($D$6^2)</f>
        <v>800</v>
      </c>
      <c r="T6" s="2">
        <f>ROUND(S6,0)</f>
        <v>800</v>
      </c>
      <c r="U6" s="2" t="b">
        <f>T6=0</f>
        <v>0</v>
      </c>
      <c r="V6" s="2">
        <f>IF(U6,1,T6)</f>
        <v>800</v>
      </c>
      <c r="W6" s="2"/>
      <c r="X6" s="2">
        <f>Q6/M6</f>
        <v>5</v>
      </c>
      <c r="Y6" s="2">
        <f>M6/V6</f>
        <v>5</v>
      </c>
    </row>
    <row r="7" spans="3:25" x14ac:dyDescent="0.35">
      <c r="F7">
        <v>-2</v>
      </c>
      <c r="G7">
        <f t="shared" ref="G7:G12" si="3">$D$6^-F7</f>
        <v>25</v>
      </c>
      <c r="I7" s="2">
        <f t="shared" si="0"/>
        <v>800</v>
      </c>
      <c r="J7" s="2">
        <f t="shared" ref="J7:J16" si="4">ROUND($D$5*$G7/$D$6,0)</f>
        <v>800</v>
      </c>
      <c r="K7" s="2" t="b">
        <f t="shared" ref="K7:K16" si="5">I7&lt;&gt;J7</f>
        <v>0</v>
      </c>
      <c r="L7" s="2" t="b">
        <f t="shared" ref="L7:L12" si="6">J7=0</f>
        <v>0</v>
      </c>
      <c r="M7" s="2">
        <f t="shared" ref="M7:M16" si="7">IF(L7,1,J7)</f>
        <v>800</v>
      </c>
      <c r="N7" s="2"/>
      <c r="O7" s="2">
        <f t="shared" si="1"/>
        <v>4000</v>
      </c>
      <c r="P7" s="2">
        <f t="shared" ref="P7:P16" si="8">ROUND($D$5*$G7,0)</f>
        <v>4000</v>
      </c>
      <c r="Q7" s="2">
        <f>IF(L7,1,IF(K7,M7*$D$6,P7))</f>
        <v>4000</v>
      </c>
      <c r="R7" s="2"/>
      <c r="S7" s="2">
        <f t="shared" si="2"/>
        <v>160</v>
      </c>
      <c r="T7" s="2">
        <f t="shared" ref="T7:T16" si="9">ROUND(S7,0)</f>
        <v>160</v>
      </c>
      <c r="U7" s="2" t="b">
        <f>T7=0</f>
        <v>0</v>
      </c>
      <c r="V7" s="2">
        <f>IF(U7,1,T7)</f>
        <v>160</v>
      </c>
      <c r="W7" s="2"/>
      <c r="X7" s="2">
        <f>Q7/M7</f>
        <v>5</v>
      </c>
      <c r="Y7" s="2">
        <f>M7/V7</f>
        <v>5</v>
      </c>
    </row>
    <row r="8" spans="3:25" x14ac:dyDescent="0.35">
      <c r="F8">
        <v>-1</v>
      </c>
      <c r="G8">
        <f t="shared" si="3"/>
        <v>5</v>
      </c>
      <c r="I8" s="2">
        <f t="shared" si="0"/>
        <v>160</v>
      </c>
      <c r="J8" s="2">
        <f t="shared" si="4"/>
        <v>160</v>
      </c>
      <c r="K8" s="2" t="b">
        <f t="shared" si="5"/>
        <v>0</v>
      </c>
      <c r="L8" s="2" t="b">
        <f t="shared" si="6"/>
        <v>0</v>
      </c>
      <c r="M8" s="2">
        <f t="shared" si="7"/>
        <v>160</v>
      </c>
      <c r="N8" s="2"/>
      <c r="O8" s="2">
        <f t="shared" si="1"/>
        <v>800</v>
      </c>
      <c r="P8" s="2">
        <f t="shared" si="8"/>
        <v>800</v>
      </c>
      <c r="Q8" s="2">
        <f>IF(L8,1,IF(K8,M8*$D$6,P8))</f>
        <v>800</v>
      </c>
      <c r="R8" s="2"/>
      <c r="S8" s="2">
        <f t="shared" si="2"/>
        <v>32</v>
      </c>
      <c r="T8" s="2">
        <f t="shared" si="9"/>
        <v>32</v>
      </c>
      <c r="U8" s="2" t="b">
        <f>T8=0</f>
        <v>0</v>
      </c>
      <c r="V8" s="2">
        <f>IF(U8,1,T8)</f>
        <v>32</v>
      </c>
      <c r="W8" s="2"/>
      <c r="X8" s="2">
        <f>Q8/M8</f>
        <v>5</v>
      </c>
      <c r="Y8" s="2">
        <f>M8/V8</f>
        <v>5</v>
      </c>
    </row>
    <row r="9" spans="3:25" x14ac:dyDescent="0.35">
      <c r="F9">
        <v>0</v>
      </c>
      <c r="G9">
        <f t="shared" si="3"/>
        <v>1</v>
      </c>
      <c r="I9" s="2">
        <f t="shared" si="0"/>
        <v>32</v>
      </c>
      <c r="J9" s="2">
        <f t="shared" si="4"/>
        <v>32</v>
      </c>
      <c r="K9" s="2" t="b">
        <f t="shared" si="5"/>
        <v>0</v>
      </c>
      <c r="L9" s="2" t="b">
        <f t="shared" si="6"/>
        <v>0</v>
      </c>
      <c r="M9" s="2">
        <f t="shared" si="7"/>
        <v>32</v>
      </c>
      <c r="N9" s="2"/>
      <c r="O9" s="2">
        <f t="shared" si="1"/>
        <v>160</v>
      </c>
      <c r="P9" s="2">
        <f t="shared" si="8"/>
        <v>160</v>
      </c>
      <c r="Q9" s="2">
        <f>IF(L9,1,IF(K9,M9*$D$6,P9))</f>
        <v>160</v>
      </c>
      <c r="R9" s="2"/>
      <c r="S9" s="2">
        <f t="shared" si="2"/>
        <v>6.4</v>
      </c>
      <c r="T9" s="2">
        <f t="shared" si="9"/>
        <v>6</v>
      </c>
      <c r="U9" s="2" t="b">
        <f>T9=0</f>
        <v>0</v>
      </c>
      <c r="V9" s="2">
        <f>IF(U9,1,T9)</f>
        <v>6</v>
      </c>
      <c r="W9" s="2"/>
      <c r="X9" s="2">
        <f>Q9/M9</f>
        <v>5</v>
      </c>
      <c r="Y9" s="2">
        <f>M9/V9</f>
        <v>5.333333333333333</v>
      </c>
    </row>
    <row r="10" spans="3:25" x14ac:dyDescent="0.35">
      <c r="F10">
        <v>1</v>
      </c>
      <c r="G10">
        <f t="shared" si="3"/>
        <v>0.2</v>
      </c>
      <c r="I10" s="2">
        <f t="shared" si="0"/>
        <v>6.4</v>
      </c>
      <c r="J10" s="2">
        <f t="shared" si="4"/>
        <v>6</v>
      </c>
      <c r="K10" s="2" t="b">
        <f t="shared" si="5"/>
        <v>1</v>
      </c>
      <c r="L10" s="2" t="b">
        <f t="shared" si="6"/>
        <v>0</v>
      </c>
      <c r="M10" s="2">
        <f t="shared" si="7"/>
        <v>6</v>
      </c>
      <c r="N10" s="2"/>
      <c r="O10" s="2">
        <f t="shared" si="1"/>
        <v>32</v>
      </c>
      <c r="P10" s="2">
        <f t="shared" si="8"/>
        <v>32</v>
      </c>
      <c r="Q10" s="2">
        <f>IF(L10,1,IF(K10,M10*$D$6,P10))</f>
        <v>30</v>
      </c>
      <c r="R10" s="2"/>
      <c r="S10" s="2">
        <f t="shared" si="2"/>
        <v>1.28</v>
      </c>
      <c r="T10" s="2">
        <f t="shared" si="9"/>
        <v>1</v>
      </c>
      <c r="U10" s="2" t="b">
        <f>T10=0</f>
        <v>0</v>
      </c>
      <c r="V10" s="2">
        <f>IF(U10,1,T10)</f>
        <v>1</v>
      </c>
      <c r="W10" s="2"/>
      <c r="X10" s="2">
        <f>Q10/M10</f>
        <v>5</v>
      </c>
      <c r="Y10" s="2">
        <f>M10/V10</f>
        <v>6</v>
      </c>
    </row>
    <row r="11" spans="3:25" x14ac:dyDescent="0.35">
      <c r="F11">
        <v>2</v>
      </c>
      <c r="G11">
        <f t="shared" si="3"/>
        <v>0.04</v>
      </c>
      <c r="I11" s="2">
        <f t="shared" si="0"/>
        <v>1.28</v>
      </c>
      <c r="J11" s="2">
        <f t="shared" si="4"/>
        <v>1</v>
      </c>
      <c r="K11" s="2" t="b">
        <f t="shared" si="5"/>
        <v>1</v>
      </c>
      <c r="L11" s="2" t="b">
        <f t="shared" si="6"/>
        <v>0</v>
      </c>
      <c r="M11" s="2">
        <f t="shared" si="7"/>
        <v>1</v>
      </c>
      <c r="N11" s="2"/>
      <c r="O11" s="2">
        <f t="shared" si="1"/>
        <v>6.4</v>
      </c>
      <c r="P11" s="2">
        <f t="shared" si="8"/>
        <v>6</v>
      </c>
      <c r="Q11" s="2">
        <f>IF(L11,1,IF(K11,M11*$D$6,P11))</f>
        <v>5</v>
      </c>
      <c r="R11" s="2"/>
      <c r="S11" s="2">
        <f t="shared" si="2"/>
        <v>0.25600000000000001</v>
      </c>
      <c r="T11" s="2">
        <f t="shared" si="9"/>
        <v>0</v>
      </c>
      <c r="U11" s="2" t="b">
        <f>T11=0</f>
        <v>1</v>
      </c>
      <c r="V11" s="2">
        <f>IF(U11,1,T11)</f>
        <v>1</v>
      </c>
      <c r="W11" s="2"/>
      <c r="X11" s="2">
        <f>Q11/M11</f>
        <v>5</v>
      </c>
      <c r="Y11" s="2">
        <f>M11/V11</f>
        <v>1</v>
      </c>
    </row>
    <row r="12" spans="3:25" x14ac:dyDescent="0.35">
      <c r="F12">
        <v>3</v>
      </c>
      <c r="G12">
        <f t="shared" si="3"/>
        <v>8.0000000000000002E-3</v>
      </c>
      <c r="I12" s="2">
        <f t="shared" si="0"/>
        <v>0.25600000000000001</v>
      </c>
      <c r="J12" s="2">
        <f t="shared" si="4"/>
        <v>0</v>
      </c>
      <c r="K12" s="2" t="b">
        <f t="shared" si="5"/>
        <v>1</v>
      </c>
      <c r="L12" s="2" t="b">
        <f t="shared" si="6"/>
        <v>1</v>
      </c>
      <c r="M12" s="2">
        <f t="shared" si="7"/>
        <v>1</v>
      </c>
      <c r="N12" s="2"/>
      <c r="O12" s="2">
        <f t="shared" si="1"/>
        <v>1.28</v>
      </c>
      <c r="P12" s="2">
        <f t="shared" si="8"/>
        <v>1</v>
      </c>
      <c r="Q12" s="2">
        <f>IF(L12,1,IF(K12,M12*$D$6,P12))</f>
        <v>1</v>
      </c>
      <c r="R12" s="2"/>
      <c r="S12" s="2">
        <f t="shared" si="2"/>
        <v>5.1200000000000002E-2</v>
      </c>
      <c r="T12" s="2">
        <f t="shared" si="9"/>
        <v>0</v>
      </c>
      <c r="U12" s="2" t="b">
        <f>T12=0</f>
        <v>1</v>
      </c>
      <c r="V12" s="2">
        <f>IF(U12,1,T12)</f>
        <v>1</v>
      </c>
      <c r="W12" s="2"/>
      <c r="X12" s="2">
        <f>Q12/M12</f>
        <v>1</v>
      </c>
      <c r="Y12" s="2">
        <f>M12/V12</f>
        <v>1</v>
      </c>
    </row>
    <row r="13" spans="3:25" x14ac:dyDescent="0.35">
      <c r="F13">
        <v>4</v>
      </c>
      <c r="G13">
        <f t="shared" ref="G13:G16" si="10">$D$6^-F13</f>
        <v>1.6000000000000001E-3</v>
      </c>
      <c r="I13" s="2">
        <f t="shared" si="0"/>
        <v>5.1200000000000002E-2</v>
      </c>
      <c r="J13" s="2">
        <f t="shared" si="4"/>
        <v>0</v>
      </c>
      <c r="K13" s="2" t="b">
        <f t="shared" si="5"/>
        <v>1</v>
      </c>
      <c r="L13" s="2" t="b">
        <f t="shared" ref="L13:L16" si="11">J13=0</f>
        <v>1</v>
      </c>
      <c r="M13" s="2">
        <f t="shared" si="7"/>
        <v>1</v>
      </c>
      <c r="N13" s="2"/>
      <c r="O13" s="2">
        <f t="shared" si="1"/>
        <v>0.25600000000000001</v>
      </c>
      <c r="P13" s="2">
        <f t="shared" si="8"/>
        <v>0</v>
      </c>
      <c r="Q13" s="2">
        <f>IF(L13,1,IF(K13,M13*$D$6,P13))</f>
        <v>1</v>
      </c>
      <c r="R13" s="2"/>
      <c r="S13" s="2">
        <f t="shared" si="2"/>
        <v>1.0240000000000001E-2</v>
      </c>
      <c r="T13" s="2">
        <f t="shared" si="9"/>
        <v>0</v>
      </c>
      <c r="U13" s="2" t="b">
        <f>T13=0</f>
        <v>1</v>
      </c>
      <c r="V13" s="2">
        <f>IF(U13,1,T13)</f>
        <v>1</v>
      </c>
      <c r="W13" s="2"/>
      <c r="X13" s="2">
        <f>Q13/M13</f>
        <v>1</v>
      </c>
      <c r="Y13" s="2">
        <f>M13/V13</f>
        <v>1</v>
      </c>
    </row>
    <row r="14" spans="3:25" x14ac:dyDescent="0.35">
      <c r="F14">
        <v>5</v>
      </c>
      <c r="G14">
        <f t="shared" si="10"/>
        <v>3.2000000000000003E-4</v>
      </c>
      <c r="I14" s="2">
        <f t="shared" si="0"/>
        <v>1.0240000000000001E-2</v>
      </c>
      <c r="J14" s="2">
        <f t="shared" si="4"/>
        <v>0</v>
      </c>
      <c r="K14" s="2" t="b">
        <f t="shared" si="5"/>
        <v>1</v>
      </c>
      <c r="L14" s="2" t="b">
        <f t="shared" si="11"/>
        <v>1</v>
      </c>
      <c r="M14" s="2">
        <f t="shared" si="7"/>
        <v>1</v>
      </c>
      <c r="N14" s="2"/>
      <c r="O14" s="2">
        <f t="shared" si="1"/>
        <v>5.1200000000000002E-2</v>
      </c>
      <c r="P14" s="2">
        <f t="shared" si="8"/>
        <v>0</v>
      </c>
      <c r="Q14" s="2">
        <f>IF(L14,1,IF(K14,M14*$D$6,P14))</f>
        <v>1</v>
      </c>
      <c r="R14" s="2"/>
      <c r="S14" s="2">
        <f t="shared" si="2"/>
        <v>2.0479999999999999E-3</v>
      </c>
      <c r="T14" s="2">
        <f t="shared" si="9"/>
        <v>0</v>
      </c>
      <c r="U14" s="2" t="b">
        <f>T14=0</f>
        <v>1</v>
      </c>
      <c r="V14" s="2">
        <f>IF(U14,1,T14)</f>
        <v>1</v>
      </c>
      <c r="W14" s="2"/>
      <c r="X14" s="2">
        <f>Q14/M14</f>
        <v>1</v>
      </c>
      <c r="Y14" s="2">
        <f>M14/V14</f>
        <v>1</v>
      </c>
    </row>
    <row r="15" spans="3:25" x14ac:dyDescent="0.35">
      <c r="F15">
        <v>6</v>
      </c>
      <c r="G15">
        <f t="shared" si="10"/>
        <v>6.3999999999999997E-5</v>
      </c>
      <c r="I15" s="2">
        <f t="shared" si="0"/>
        <v>2.0479999999999999E-3</v>
      </c>
      <c r="J15" s="2">
        <f t="shared" si="4"/>
        <v>0</v>
      </c>
      <c r="K15" s="2" t="b">
        <f t="shared" si="5"/>
        <v>1</v>
      </c>
      <c r="L15" s="2" t="b">
        <f t="shared" si="11"/>
        <v>1</v>
      </c>
      <c r="M15" s="2">
        <f t="shared" si="7"/>
        <v>1</v>
      </c>
      <c r="N15" s="2"/>
      <c r="O15" s="2">
        <f t="shared" si="1"/>
        <v>1.0239999999999999E-2</v>
      </c>
      <c r="P15" s="2">
        <f t="shared" si="8"/>
        <v>0</v>
      </c>
      <c r="Q15" s="2">
        <f>IF(L15,1,IF(K15,M15*$D$6,P15))</f>
        <v>1</v>
      </c>
      <c r="R15" s="2"/>
      <c r="S15" s="2">
        <f t="shared" si="2"/>
        <v>4.0959999999999998E-4</v>
      </c>
      <c r="T15" s="2">
        <f t="shared" si="9"/>
        <v>0</v>
      </c>
      <c r="U15" s="2" t="b">
        <f>T15=0</f>
        <v>1</v>
      </c>
      <c r="V15" s="2">
        <f>IF(U15,1,T15)</f>
        <v>1</v>
      </c>
      <c r="W15" s="2"/>
      <c r="X15" s="2">
        <f>Q15/M15</f>
        <v>1</v>
      </c>
      <c r="Y15" s="2">
        <f>M15/V15</f>
        <v>1</v>
      </c>
    </row>
    <row r="16" spans="3:25" x14ac:dyDescent="0.35">
      <c r="F16">
        <v>7</v>
      </c>
      <c r="G16">
        <f t="shared" si="10"/>
        <v>1.2799999999999999E-5</v>
      </c>
      <c r="I16" s="2">
        <f t="shared" si="0"/>
        <v>4.0959999999999998E-4</v>
      </c>
      <c r="J16" s="2">
        <f t="shared" si="4"/>
        <v>0</v>
      </c>
      <c r="K16" s="2" t="b">
        <f t="shared" si="5"/>
        <v>1</v>
      </c>
      <c r="L16" s="2" t="b">
        <f t="shared" si="11"/>
        <v>1</v>
      </c>
      <c r="M16" s="2">
        <f t="shared" si="7"/>
        <v>1</v>
      </c>
      <c r="N16" s="2"/>
      <c r="O16" s="2">
        <f t="shared" si="1"/>
        <v>2.0479999999999999E-3</v>
      </c>
      <c r="P16" s="2">
        <f t="shared" si="8"/>
        <v>0</v>
      </c>
      <c r="Q16" s="2">
        <f>IF(L16,1,IF(K16,M16*$D$6,P16))</f>
        <v>1</v>
      </c>
      <c r="R16" s="2"/>
      <c r="S16" s="2">
        <f t="shared" si="2"/>
        <v>8.1920000000000002E-5</v>
      </c>
      <c r="T16" s="2">
        <f t="shared" si="9"/>
        <v>0</v>
      </c>
      <c r="U16" s="2" t="b">
        <f>T16=0</f>
        <v>1</v>
      </c>
      <c r="V16" s="2">
        <f>IF(U16,1,T16)</f>
        <v>1</v>
      </c>
      <c r="W16" s="2"/>
      <c r="X16" s="2">
        <f>Q16/M16</f>
        <v>1</v>
      </c>
      <c r="Y16" s="2">
        <f>M16/V16</f>
        <v>1</v>
      </c>
    </row>
  </sheetData>
  <mergeCells count="3">
    <mergeCell ref="S4:V4"/>
    <mergeCell ref="I4:M4"/>
    <mergeCell ref="O4:Q4"/>
  </mergeCells>
  <pageMargins left="0.7" right="0.7" top="0.75" bottom="0.75" header="0.3" footer="0.3"/>
  <pageSetup orientation="portrait" r:id="rId1"/>
  <headerFooter>
    <oddFooter>&amp;C_x000D_&amp;1#&amp;"Aptos"&amp;10&amp;K000000 OMNIVA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Schwager</dc:creator>
  <cp:lastModifiedBy>Michael Schwager</cp:lastModifiedBy>
  <dcterms:created xsi:type="dcterms:W3CDTF">2025-11-03T04:54:51Z</dcterms:created>
  <dcterms:modified xsi:type="dcterms:W3CDTF">2025-11-03T22:56:14Z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c2ff0-e95b-471c-8dfd-c5744fd06470_Enabled">
    <vt:lpwstr>true</vt:lpwstr>
  </property>
  <property fmtid="{D5CDD505-2E9C-101B-9397-08002B2CF9AE}" pid="3" name="MSIP_Label_1adc2ff0-e95b-471c-8dfd-c5744fd06470_SetDate">
    <vt:lpwstr>2025-11-03T20:41:02Z</vt:lpwstr>
  </property>
  <property fmtid="{D5CDD505-2E9C-101B-9397-08002B2CF9AE}" pid="4" name="MSIP_Label_1adc2ff0-e95b-471c-8dfd-c5744fd06470_Method">
    <vt:lpwstr>Standard</vt:lpwstr>
  </property>
  <property fmtid="{D5CDD505-2E9C-101B-9397-08002B2CF9AE}" pid="5" name="MSIP_Label_1adc2ff0-e95b-471c-8dfd-c5744fd06470_Name">
    <vt:lpwstr>No Watermark (OC)</vt:lpwstr>
  </property>
  <property fmtid="{D5CDD505-2E9C-101B-9397-08002B2CF9AE}" pid="6" name="MSIP_Label_1adc2ff0-e95b-471c-8dfd-c5744fd06470_SiteId">
    <vt:lpwstr>a5130114-6a0b-4809-8d0c-c8b3fc546053</vt:lpwstr>
  </property>
  <property fmtid="{D5CDD505-2E9C-101B-9397-08002B2CF9AE}" pid="7" name="MSIP_Label_1adc2ff0-e95b-471c-8dfd-c5744fd06470_ActionId">
    <vt:lpwstr>895d76a4-18db-4768-9333-b6a5a90793b0</vt:lpwstr>
  </property>
  <property fmtid="{D5CDD505-2E9C-101B-9397-08002B2CF9AE}" pid="8" name="MSIP_Label_1adc2ff0-e95b-471c-8dfd-c5744fd06470_ContentBits">
    <vt:lpwstr>2</vt:lpwstr>
  </property>
  <property fmtid="{D5CDD505-2E9C-101B-9397-08002B2CF9AE}" pid="9" name="MSIP_Label_1adc2ff0-e95b-471c-8dfd-c5744fd06470_Tag">
    <vt:lpwstr>10, 3, 0, 1</vt:lpwstr>
  </property>
</Properties>
</file>