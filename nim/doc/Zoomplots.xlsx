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Schwager\source\repos\blocks\nim\doc\"/>
    </mc:Choice>
  </mc:AlternateContent>
  <xr:revisionPtr revIDLastSave="0" documentId="8_{AD397207-48D3-4A5D-82EB-9CC570F423CF}" xr6:coauthVersionLast="47" xr6:coauthVersionMax="47" xr10:uidLastSave="{00000000-0000-0000-0000-000000000000}"/>
  <bookViews>
    <workbookView xWindow="-80" yWindow="-80" windowWidth="38560" windowHeight="21760" xr2:uid="{51662638-9EC9-4BC1-A6F8-86396A737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M8" i="1" s="1"/>
  <c r="D9" i="1" l="1"/>
  <c r="G8" i="1"/>
  <c r="V8" i="1"/>
  <c r="E8" i="1"/>
  <c r="O8" i="1" s="1"/>
  <c r="J8" i="1"/>
  <c r="S8" i="1"/>
  <c r="P8" i="1"/>
  <c r="Q8" i="1" l="1"/>
  <c r="V9" i="1"/>
  <c r="P9" i="1"/>
  <c r="J9" i="1"/>
  <c r="G9" i="1"/>
  <c r="E9" i="1"/>
  <c r="D10" i="1"/>
  <c r="S9" i="1"/>
  <c r="M9" i="1"/>
  <c r="I8" i="1"/>
  <c r="K8" i="1" s="1"/>
  <c r="R8" i="1"/>
  <c r="T8" i="1" s="1"/>
  <c r="F8" i="1"/>
  <c r="H8" i="1" s="1"/>
  <c r="U8" i="1"/>
  <c r="W8" i="1" s="1"/>
  <c r="L8" i="1"/>
  <c r="N8" i="1" s="1"/>
  <c r="D11" i="1" l="1"/>
  <c r="P10" i="1"/>
  <c r="V10" i="1"/>
  <c r="E10" i="1"/>
  <c r="G10" i="1"/>
  <c r="S10" i="1"/>
  <c r="M10" i="1"/>
  <c r="J10" i="1"/>
  <c r="O9" i="1"/>
  <c r="Q9" i="1" s="1"/>
  <c r="U9" i="1"/>
  <c r="W9" i="1" s="1"/>
  <c r="I9" i="1"/>
  <c r="K9" i="1" s="1"/>
  <c r="L9" i="1"/>
  <c r="N9" i="1" s="1"/>
  <c r="F9" i="1"/>
  <c r="H9" i="1" s="1"/>
  <c r="R9" i="1"/>
  <c r="T9" i="1" s="1"/>
  <c r="O10" i="1" l="1"/>
  <c r="Q10" i="1" s="1"/>
  <c r="R10" i="1"/>
  <c r="T10" i="1" s="1"/>
  <c r="I10" i="1"/>
  <c r="K10" i="1" s="1"/>
  <c r="L10" i="1"/>
  <c r="N10" i="1" s="1"/>
  <c r="U10" i="1"/>
  <c r="W10" i="1" s="1"/>
  <c r="F10" i="1"/>
  <c r="H10" i="1" s="1"/>
  <c r="V11" i="1"/>
  <c r="M11" i="1"/>
  <c r="S11" i="1"/>
  <c r="E11" i="1"/>
  <c r="G11" i="1"/>
  <c r="J11" i="1"/>
  <c r="P11" i="1"/>
  <c r="D12" i="1"/>
  <c r="S12" i="1" l="1"/>
  <c r="G12" i="1"/>
  <c r="D13" i="1"/>
  <c r="J12" i="1"/>
  <c r="V12" i="1"/>
  <c r="P12" i="1"/>
  <c r="M12" i="1"/>
  <c r="E12" i="1"/>
  <c r="O11" i="1"/>
  <c r="Q11" i="1" s="1"/>
  <c r="R11" i="1"/>
  <c r="T11" i="1" s="1"/>
  <c r="I11" i="1"/>
  <c r="K11" i="1" s="1"/>
  <c r="F11" i="1"/>
  <c r="H11" i="1" s="1"/>
  <c r="L11" i="1"/>
  <c r="N11" i="1" s="1"/>
  <c r="U11" i="1"/>
  <c r="W11" i="1" s="1"/>
  <c r="P13" i="1" l="1"/>
  <c r="M13" i="1"/>
  <c r="J13" i="1"/>
  <c r="V13" i="1"/>
  <c r="D14" i="1"/>
  <c r="S13" i="1"/>
  <c r="E13" i="1"/>
  <c r="G13" i="1"/>
  <c r="O12" i="1"/>
  <c r="Q12" i="1" s="1"/>
  <c r="F12" i="1"/>
  <c r="H12" i="1" s="1"/>
  <c r="L12" i="1"/>
  <c r="N12" i="1" s="1"/>
  <c r="R12" i="1"/>
  <c r="T12" i="1" s="1"/>
  <c r="I12" i="1"/>
  <c r="K12" i="1" s="1"/>
  <c r="U12" i="1"/>
  <c r="W12" i="1" s="1"/>
  <c r="R13" i="1" l="1"/>
  <c r="T13" i="1" s="1"/>
  <c r="O13" i="1"/>
  <c r="Q13" i="1" s="1"/>
  <c r="F13" i="1"/>
  <c r="H13" i="1" s="1"/>
  <c r="U13" i="1"/>
  <c r="W13" i="1" s="1"/>
  <c r="L13" i="1"/>
  <c r="N13" i="1" s="1"/>
  <c r="I13" i="1"/>
  <c r="K13" i="1" s="1"/>
  <c r="D15" i="1"/>
  <c r="P14" i="1"/>
  <c r="E14" i="1"/>
  <c r="G14" i="1"/>
  <c r="S14" i="1"/>
  <c r="J14" i="1"/>
  <c r="V14" i="1"/>
  <c r="M14" i="1"/>
  <c r="U14" i="1" l="1"/>
  <c r="W14" i="1" s="1"/>
  <c r="L14" i="1"/>
  <c r="N14" i="1" s="1"/>
  <c r="O14" i="1"/>
  <c r="Q14" i="1" s="1"/>
  <c r="I14" i="1"/>
  <c r="K14" i="1" s="1"/>
  <c r="R14" i="1"/>
  <c r="T14" i="1" s="1"/>
  <c r="F14" i="1"/>
  <c r="H14" i="1" s="1"/>
  <c r="M15" i="1"/>
  <c r="D16" i="1"/>
  <c r="S15" i="1"/>
  <c r="P15" i="1"/>
  <c r="J15" i="1"/>
  <c r="E15" i="1"/>
  <c r="G15" i="1"/>
  <c r="V15" i="1"/>
  <c r="U15" i="1" l="1"/>
  <c r="W15" i="1" s="1"/>
  <c r="L15" i="1"/>
  <c r="N15" i="1" s="1"/>
  <c r="O15" i="1"/>
  <c r="Q15" i="1" s="1"/>
  <c r="F15" i="1"/>
  <c r="H15" i="1" s="1"/>
  <c r="R15" i="1"/>
  <c r="T15" i="1" s="1"/>
  <c r="I15" i="1"/>
  <c r="K15" i="1" s="1"/>
  <c r="S16" i="1"/>
  <c r="D17" i="1"/>
  <c r="P16" i="1"/>
  <c r="E16" i="1"/>
  <c r="J16" i="1"/>
  <c r="G16" i="1"/>
  <c r="V16" i="1"/>
  <c r="M16" i="1"/>
  <c r="I16" i="1" l="1"/>
  <c r="K16" i="1" s="1"/>
  <c r="F16" i="1"/>
  <c r="H16" i="1" s="1"/>
  <c r="R16" i="1"/>
  <c r="T16" i="1" s="1"/>
  <c r="O16" i="1"/>
  <c r="Q16" i="1" s="1"/>
  <c r="U16" i="1"/>
  <c r="W16" i="1" s="1"/>
  <c r="L16" i="1"/>
  <c r="N16" i="1" s="1"/>
  <c r="S17" i="1"/>
  <c r="D18" i="1"/>
  <c r="E17" i="1"/>
  <c r="P17" i="1"/>
  <c r="J17" i="1"/>
  <c r="M17" i="1"/>
  <c r="V17" i="1"/>
  <c r="G17" i="1"/>
  <c r="J18" i="1" l="1"/>
  <c r="E18" i="1"/>
  <c r="S18" i="1"/>
  <c r="P18" i="1"/>
  <c r="D19" i="1"/>
  <c r="V18" i="1"/>
  <c r="G18" i="1"/>
  <c r="M18" i="1"/>
  <c r="R17" i="1"/>
  <c r="T17" i="1" s="1"/>
  <c r="U17" i="1"/>
  <c r="W17" i="1" s="1"/>
  <c r="F17" i="1"/>
  <c r="H17" i="1" s="1"/>
  <c r="I17" i="1"/>
  <c r="K17" i="1" s="1"/>
  <c r="L17" i="1"/>
  <c r="N17" i="1" s="1"/>
  <c r="O17" i="1"/>
  <c r="Q17" i="1" s="1"/>
  <c r="D20" i="1" l="1"/>
  <c r="P19" i="1"/>
  <c r="V19" i="1"/>
  <c r="S19" i="1"/>
  <c r="M19" i="1"/>
  <c r="E19" i="1"/>
  <c r="J19" i="1"/>
  <c r="G19" i="1"/>
  <c r="O18" i="1"/>
  <c r="Q18" i="1" s="1"/>
  <c r="R18" i="1"/>
  <c r="T18" i="1" s="1"/>
  <c r="I18" i="1"/>
  <c r="K18" i="1" s="1"/>
  <c r="F18" i="1"/>
  <c r="H18" i="1" s="1"/>
  <c r="L18" i="1"/>
  <c r="N18" i="1" s="1"/>
  <c r="U18" i="1"/>
  <c r="W18" i="1" s="1"/>
  <c r="O19" i="1" l="1"/>
  <c r="Q19" i="1" s="1"/>
  <c r="L19" i="1"/>
  <c r="N19" i="1" s="1"/>
  <c r="I19" i="1"/>
  <c r="K19" i="1" s="1"/>
  <c r="U19" i="1"/>
  <c r="W19" i="1" s="1"/>
  <c r="F19" i="1"/>
  <c r="H19" i="1" s="1"/>
  <c r="R19" i="1"/>
  <c r="T19" i="1" s="1"/>
  <c r="D21" i="1"/>
  <c r="J20" i="1"/>
  <c r="S20" i="1"/>
  <c r="M20" i="1"/>
  <c r="V20" i="1"/>
  <c r="P20" i="1"/>
  <c r="E20" i="1"/>
  <c r="G20" i="1"/>
  <c r="F20" i="1" l="1"/>
  <c r="H20" i="1" s="1"/>
  <c r="U20" i="1"/>
  <c r="W20" i="1" s="1"/>
  <c r="O20" i="1"/>
  <c r="Q20" i="1" s="1"/>
  <c r="R20" i="1"/>
  <c r="T20" i="1" s="1"/>
  <c r="L20" i="1"/>
  <c r="N20" i="1" s="1"/>
  <c r="I20" i="1"/>
  <c r="K20" i="1" s="1"/>
  <c r="E21" i="1"/>
  <c r="M21" i="1"/>
  <c r="J21" i="1"/>
  <c r="V21" i="1"/>
  <c r="D22" i="1"/>
  <c r="D23" i="1" s="1"/>
  <c r="S21" i="1"/>
  <c r="P21" i="1"/>
  <c r="G21" i="1"/>
  <c r="E23" i="1" l="1"/>
  <c r="G23" i="1"/>
  <c r="M23" i="1"/>
  <c r="J23" i="1"/>
  <c r="P23" i="1"/>
  <c r="S23" i="1"/>
  <c r="D24" i="1"/>
  <c r="V23" i="1"/>
  <c r="G22" i="1"/>
  <c r="S22" i="1"/>
  <c r="M22" i="1"/>
  <c r="E22" i="1"/>
  <c r="J22" i="1"/>
  <c r="P22" i="1"/>
  <c r="V22" i="1"/>
  <c r="I21" i="1"/>
  <c r="K21" i="1" s="1"/>
  <c r="O21" i="1"/>
  <c r="Q21" i="1" s="1"/>
  <c r="F21" i="1"/>
  <c r="H21" i="1" s="1"/>
  <c r="R21" i="1"/>
  <c r="T21" i="1" s="1"/>
  <c r="U21" i="1"/>
  <c r="W21" i="1" s="1"/>
  <c r="L21" i="1"/>
  <c r="N21" i="1" s="1"/>
  <c r="J24" i="1" l="1"/>
  <c r="M24" i="1"/>
  <c r="P24" i="1"/>
  <c r="S24" i="1"/>
  <c r="V24" i="1"/>
  <c r="E24" i="1"/>
  <c r="G24" i="1"/>
  <c r="D25" i="1"/>
  <c r="F23" i="1"/>
  <c r="H23" i="1" s="1"/>
  <c r="I23" i="1"/>
  <c r="K23" i="1" s="1"/>
  <c r="L23" i="1"/>
  <c r="N23" i="1" s="1"/>
  <c r="O23" i="1"/>
  <c r="Q23" i="1" s="1"/>
  <c r="R23" i="1"/>
  <c r="T23" i="1" s="1"/>
  <c r="U23" i="1"/>
  <c r="W23" i="1" s="1"/>
  <c r="L22" i="1"/>
  <c r="N22" i="1" s="1"/>
  <c r="O22" i="1"/>
  <c r="Q22" i="1" s="1"/>
  <c r="I22" i="1"/>
  <c r="K22" i="1" s="1"/>
  <c r="U22" i="1"/>
  <c r="W22" i="1" s="1"/>
  <c r="F22" i="1"/>
  <c r="H22" i="1" s="1"/>
  <c r="R22" i="1"/>
  <c r="T22" i="1" s="1"/>
  <c r="F24" i="1" l="1"/>
  <c r="H24" i="1" s="1"/>
  <c r="R24" i="1"/>
  <c r="T24" i="1" s="1"/>
  <c r="U24" i="1"/>
  <c r="W24" i="1" s="1"/>
  <c r="I24" i="1"/>
  <c r="K24" i="1" s="1"/>
  <c r="O24" i="1"/>
  <c r="Q24" i="1" s="1"/>
  <c r="L24" i="1"/>
  <c r="N24" i="1" s="1"/>
  <c r="G25" i="1"/>
  <c r="M25" i="1"/>
  <c r="E25" i="1"/>
  <c r="J25" i="1"/>
  <c r="P25" i="1"/>
  <c r="S25" i="1"/>
  <c r="V25" i="1"/>
  <c r="D26" i="1"/>
  <c r="V26" i="1" l="1"/>
  <c r="J26" i="1"/>
  <c r="G26" i="1"/>
  <c r="S26" i="1"/>
  <c r="D27" i="1"/>
  <c r="E26" i="1"/>
  <c r="M26" i="1"/>
  <c r="P26" i="1"/>
  <c r="I25" i="1"/>
  <c r="K25" i="1" s="1"/>
  <c r="F25" i="1"/>
  <c r="H25" i="1" s="1"/>
  <c r="U25" i="1"/>
  <c r="W25" i="1" s="1"/>
  <c r="R25" i="1"/>
  <c r="T25" i="1" s="1"/>
  <c r="L25" i="1"/>
  <c r="N25" i="1" s="1"/>
  <c r="O25" i="1"/>
  <c r="Q25" i="1" s="1"/>
  <c r="I26" i="1" l="1"/>
  <c r="K26" i="1" s="1"/>
  <c r="F26" i="1"/>
  <c r="H26" i="1" s="1"/>
  <c r="U26" i="1"/>
  <c r="W26" i="1" s="1"/>
  <c r="R26" i="1"/>
  <c r="T26" i="1" s="1"/>
  <c r="O26" i="1"/>
  <c r="Q26" i="1" s="1"/>
  <c r="L26" i="1"/>
  <c r="N26" i="1" s="1"/>
  <c r="D28" i="1"/>
  <c r="E27" i="1"/>
  <c r="G27" i="1"/>
  <c r="M27" i="1"/>
  <c r="P27" i="1"/>
  <c r="J27" i="1"/>
  <c r="S27" i="1"/>
  <c r="V27" i="1"/>
  <c r="D29" i="1" l="1"/>
  <c r="G28" i="1"/>
  <c r="J28" i="1"/>
  <c r="P28" i="1"/>
  <c r="S28" i="1"/>
  <c r="V28" i="1"/>
  <c r="E28" i="1"/>
  <c r="M28" i="1"/>
  <c r="I27" i="1"/>
  <c r="K27" i="1" s="1"/>
  <c r="F27" i="1"/>
  <c r="H27" i="1" s="1"/>
  <c r="U27" i="1"/>
  <c r="W27" i="1" s="1"/>
  <c r="R27" i="1"/>
  <c r="T27" i="1" s="1"/>
  <c r="L27" i="1"/>
  <c r="N27" i="1" s="1"/>
  <c r="O27" i="1"/>
  <c r="Q27" i="1" s="1"/>
  <c r="L28" i="1" l="1"/>
  <c r="N28" i="1" s="1"/>
  <c r="I28" i="1"/>
  <c r="K28" i="1" s="1"/>
  <c r="F28" i="1"/>
  <c r="H28" i="1" s="1"/>
  <c r="U28" i="1"/>
  <c r="W28" i="1" s="1"/>
  <c r="R28" i="1"/>
  <c r="T28" i="1" s="1"/>
  <c r="O28" i="1"/>
  <c r="Q28" i="1" s="1"/>
  <c r="D30" i="1"/>
  <c r="E29" i="1"/>
  <c r="G29" i="1"/>
  <c r="J29" i="1"/>
  <c r="P29" i="1"/>
  <c r="S29" i="1"/>
  <c r="V29" i="1"/>
  <c r="M29" i="1"/>
  <c r="L29" i="1" l="1"/>
  <c r="N29" i="1" s="1"/>
  <c r="F29" i="1"/>
  <c r="H29" i="1" s="1"/>
  <c r="I29" i="1"/>
  <c r="K29" i="1" s="1"/>
  <c r="U29" i="1"/>
  <c r="W29" i="1" s="1"/>
  <c r="R29" i="1"/>
  <c r="T29" i="1" s="1"/>
  <c r="O29" i="1"/>
  <c r="Q29" i="1" s="1"/>
  <c r="D31" i="1"/>
  <c r="E30" i="1"/>
  <c r="G30" i="1"/>
  <c r="V30" i="1"/>
  <c r="J30" i="1"/>
  <c r="M30" i="1"/>
  <c r="P30" i="1"/>
  <c r="S30" i="1"/>
  <c r="L30" i="1" l="1"/>
  <c r="N30" i="1" s="1"/>
  <c r="F30" i="1"/>
  <c r="H30" i="1" s="1"/>
  <c r="I30" i="1"/>
  <c r="K30" i="1" s="1"/>
  <c r="O30" i="1"/>
  <c r="Q30" i="1" s="1"/>
  <c r="U30" i="1"/>
  <c r="W30" i="1" s="1"/>
  <c r="R30" i="1"/>
  <c r="T30" i="1" s="1"/>
  <c r="D32" i="1"/>
  <c r="E31" i="1"/>
  <c r="G31" i="1"/>
  <c r="M31" i="1"/>
  <c r="S31" i="1"/>
  <c r="V31" i="1"/>
  <c r="J31" i="1"/>
  <c r="P31" i="1"/>
  <c r="O31" i="1" l="1"/>
  <c r="Q31" i="1" s="1"/>
  <c r="F31" i="1"/>
  <c r="H31" i="1" s="1"/>
  <c r="I31" i="1"/>
  <c r="K31" i="1" s="1"/>
  <c r="L31" i="1"/>
  <c r="N31" i="1" s="1"/>
  <c r="U31" i="1"/>
  <c r="W31" i="1" s="1"/>
  <c r="R31" i="1"/>
  <c r="T31" i="1" s="1"/>
  <c r="D33" i="1"/>
  <c r="M32" i="1"/>
  <c r="P32" i="1"/>
  <c r="S32" i="1"/>
  <c r="V32" i="1"/>
  <c r="J32" i="1"/>
  <c r="E32" i="1"/>
  <c r="G32" i="1"/>
  <c r="O32" i="1" l="1"/>
  <c r="Q32" i="1" s="1"/>
  <c r="I32" i="1"/>
  <c r="K32" i="1" s="1"/>
  <c r="L32" i="1"/>
  <c r="N32" i="1" s="1"/>
  <c r="F32" i="1"/>
  <c r="H32" i="1" s="1"/>
  <c r="U32" i="1"/>
  <c r="W32" i="1" s="1"/>
  <c r="R32" i="1"/>
  <c r="T32" i="1" s="1"/>
  <c r="D34" i="1"/>
  <c r="E33" i="1"/>
  <c r="G33" i="1"/>
  <c r="V33" i="1"/>
  <c r="S33" i="1"/>
  <c r="P33" i="1"/>
  <c r="J33" i="1"/>
  <c r="M33" i="1"/>
  <c r="D35" i="1" l="1"/>
  <c r="J34" i="1"/>
  <c r="S34" i="1"/>
  <c r="V34" i="1"/>
  <c r="E34" i="1"/>
  <c r="G34" i="1"/>
  <c r="M34" i="1"/>
  <c r="P34" i="1"/>
  <c r="O33" i="1"/>
  <c r="Q33" i="1" s="1"/>
  <c r="F33" i="1"/>
  <c r="H33" i="1" s="1"/>
  <c r="I33" i="1"/>
  <c r="K33" i="1" s="1"/>
  <c r="L33" i="1"/>
  <c r="N33" i="1" s="1"/>
  <c r="R33" i="1"/>
  <c r="T33" i="1" s="1"/>
  <c r="U33" i="1"/>
  <c r="W33" i="1" s="1"/>
  <c r="P35" i="1" l="1"/>
  <c r="S35" i="1"/>
  <c r="V35" i="1"/>
  <c r="D36" i="1"/>
  <c r="G35" i="1"/>
  <c r="M35" i="1"/>
  <c r="E35" i="1"/>
  <c r="J35" i="1"/>
  <c r="R34" i="1"/>
  <c r="T34" i="1" s="1"/>
  <c r="I34" i="1"/>
  <c r="K34" i="1" s="1"/>
  <c r="L34" i="1"/>
  <c r="N34" i="1" s="1"/>
  <c r="O34" i="1"/>
  <c r="Q34" i="1" s="1"/>
  <c r="U34" i="1"/>
  <c r="W34" i="1" s="1"/>
  <c r="F34" i="1"/>
  <c r="H34" i="1" s="1"/>
  <c r="R35" i="1" l="1"/>
  <c r="T35" i="1" s="1"/>
  <c r="O35" i="1"/>
  <c r="Q35" i="1" s="1"/>
  <c r="F35" i="1"/>
  <c r="H35" i="1" s="1"/>
  <c r="L35" i="1"/>
  <c r="N35" i="1" s="1"/>
  <c r="U35" i="1"/>
  <c r="W35" i="1" s="1"/>
  <c r="I35" i="1"/>
  <c r="K35" i="1" s="1"/>
  <c r="V36" i="1"/>
  <c r="E36" i="1"/>
  <c r="M36" i="1"/>
  <c r="G36" i="1"/>
  <c r="P36" i="1"/>
  <c r="S36" i="1"/>
  <c r="D37" i="1"/>
  <c r="J36" i="1"/>
  <c r="D38" i="1" l="1"/>
  <c r="E37" i="1"/>
  <c r="G37" i="1"/>
  <c r="M37" i="1"/>
  <c r="S37" i="1"/>
  <c r="J37" i="1"/>
  <c r="P37" i="1"/>
  <c r="V37" i="1"/>
  <c r="R36" i="1"/>
  <c r="T36" i="1" s="1"/>
  <c r="U36" i="1"/>
  <c r="W36" i="1" s="1"/>
  <c r="O36" i="1"/>
  <c r="Q36" i="1" s="1"/>
  <c r="L36" i="1"/>
  <c r="N36" i="1" s="1"/>
  <c r="F36" i="1"/>
  <c r="H36" i="1" s="1"/>
  <c r="I36" i="1"/>
  <c r="K36" i="1" s="1"/>
  <c r="D39" i="1" l="1"/>
  <c r="E38" i="1"/>
  <c r="G38" i="1"/>
  <c r="J38" i="1"/>
  <c r="M38" i="1"/>
  <c r="P38" i="1"/>
  <c r="S38" i="1"/>
  <c r="V38" i="1"/>
  <c r="L37" i="1"/>
  <c r="N37" i="1" s="1"/>
  <c r="O37" i="1"/>
  <c r="Q37" i="1" s="1"/>
  <c r="R37" i="1"/>
  <c r="T37" i="1" s="1"/>
  <c r="U37" i="1"/>
  <c r="W37" i="1" s="1"/>
  <c r="F37" i="1"/>
  <c r="H37" i="1" s="1"/>
  <c r="I37" i="1"/>
  <c r="K37" i="1" s="1"/>
  <c r="U38" i="1" l="1"/>
  <c r="W38" i="1" s="1"/>
  <c r="L38" i="1"/>
  <c r="N38" i="1" s="1"/>
  <c r="O38" i="1"/>
  <c r="Q38" i="1" s="1"/>
  <c r="R38" i="1"/>
  <c r="T38" i="1" s="1"/>
  <c r="I38" i="1"/>
  <c r="K38" i="1" s="1"/>
  <c r="F38" i="1"/>
  <c r="H38" i="1" s="1"/>
  <c r="D40" i="1"/>
  <c r="P39" i="1"/>
  <c r="V39" i="1"/>
  <c r="S39" i="1"/>
  <c r="J39" i="1"/>
  <c r="M39" i="1"/>
  <c r="E39" i="1"/>
  <c r="G39" i="1"/>
  <c r="D41" i="1" l="1"/>
  <c r="V40" i="1"/>
  <c r="M40" i="1"/>
  <c r="E40" i="1"/>
  <c r="P40" i="1"/>
  <c r="G40" i="1"/>
  <c r="J40" i="1"/>
  <c r="S40" i="1"/>
  <c r="U39" i="1"/>
  <c r="W39" i="1" s="1"/>
  <c r="O39" i="1"/>
  <c r="Q39" i="1" s="1"/>
  <c r="R39" i="1"/>
  <c r="T39" i="1" s="1"/>
  <c r="L39" i="1"/>
  <c r="N39" i="1" s="1"/>
  <c r="F39" i="1"/>
  <c r="H39" i="1" s="1"/>
  <c r="I39" i="1"/>
  <c r="K39" i="1" s="1"/>
  <c r="I40" i="1" l="1"/>
  <c r="K40" i="1" s="1"/>
  <c r="U40" i="1"/>
  <c r="W40" i="1" s="1"/>
  <c r="O40" i="1"/>
  <c r="Q40" i="1" s="1"/>
  <c r="L40" i="1"/>
  <c r="N40" i="1" s="1"/>
  <c r="R40" i="1"/>
  <c r="T40" i="1" s="1"/>
  <c r="F40" i="1"/>
  <c r="H40" i="1" s="1"/>
  <c r="D42" i="1"/>
  <c r="E41" i="1"/>
  <c r="M41" i="1"/>
  <c r="P41" i="1"/>
  <c r="S41" i="1"/>
  <c r="G41" i="1"/>
  <c r="J41" i="1"/>
  <c r="V41" i="1"/>
  <c r="I41" i="1" l="1"/>
  <c r="K41" i="1" s="1"/>
  <c r="F41" i="1"/>
  <c r="H41" i="1" s="1"/>
  <c r="L41" i="1"/>
  <c r="N41" i="1" s="1"/>
  <c r="O41" i="1"/>
  <c r="Q41" i="1" s="1"/>
  <c r="U41" i="1"/>
  <c r="W41" i="1" s="1"/>
  <c r="R41" i="1"/>
  <c r="T41" i="1" s="1"/>
  <c r="D43" i="1"/>
  <c r="J42" i="1"/>
  <c r="E42" i="1"/>
  <c r="G42" i="1"/>
  <c r="M42" i="1"/>
  <c r="P42" i="1"/>
  <c r="V42" i="1"/>
  <c r="S42" i="1"/>
  <c r="I42" i="1" l="1"/>
  <c r="K42" i="1" s="1"/>
  <c r="L42" i="1"/>
  <c r="N42" i="1" s="1"/>
  <c r="F42" i="1"/>
  <c r="H42" i="1" s="1"/>
  <c r="O42" i="1"/>
  <c r="Q42" i="1" s="1"/>
  <c r="U42" i="1"/>
  <c r="W42" i="1" s="1"/>
  <c r="R42" i="1"/>
  <c r="T42" i="1" s="1"/>
  <c r="D44" i="1"/>
  <c r="J43" i="1"/>
  <c r="M43" i="1"/>
  <c r="P43" i="1"/>
  <c r="S43" i="1"/>
  <c r="V43" i="1"/>
  <c r="E43" i="1"/>
  <c r="G43" i="1"/>
  <c r="L43" i="1" l="1"/>
  <c r="N43" i="1" s="1"/>
  <c r="R43" i="1"/>
  <c r="T43" i="1" s="1"/>
  <c r="O43" i="1"/>
  <c r="Q43" i="1" s="1"/>
  <c r="I43" i="1"/>
  <c r="K43" i="1" s="1"/>
  <c r="U43" i="1"/>
  <c r="W43" i="1" s="1"/>
  <c r="F43" i="1"/>
  <c r="H43" i="1" s="1"/>
  <c r="D45" i="1"/>
  <c r="P44" i="1"/>
  <c r="S44" i="1"/>
  <c r="V44" i="1"/>
  <c r="E44" i="1"/>
  <c r="G44" i="1"/>
  <c r="J44" i="1"/>
  <c r="M44" i="1"/>
  <c r="F44" i="1" l="1"/>
  <c r="H44" i="1" s="1"/>
  <c r="I44" i="1"/>
  <c r="K44" i="1" s="1"/>
  <c r="O44" i="1"/>
  <c r="Q44" i="1" s="1"/>
  <c r="L44" i="1"/>
  <c r="N44" i="1" s="1"/>
  <c r="U44" i="1"/>
  <c r="W44" i="1" s="1"/>
  <c r="R44" i="1"/>
  <c r="T44" i="1" s="1"/>
  <c r="D46" i="1"/>
  <c r="E45" i="1"/>
  <c r="G45" i="1"/>
  <c r="J45" i="1"/>
  <c r="P45" i="1"/>
  <c r="M45" i="1"/>
  <c r="S45" i="1"/>
  <c r="V45" i="1"/>
  <c r="I45" i="1" l="1"/>
  <c r="K45" i="1" s="1"/>
  <c r="F45" i="1"/>
  <c r="H45" i="1" s="1"/>
  <c r="R45" i="1"/>
  <c r="T45" i="1" s="1"/>
  <c r="O45" i="1"/>
  <c r="Q45" i="1" s="1"/>
  <c r="L45" i="1"/>
  <c r="N45" i="1" s="1"/>
  <c r="U45" i="1"/>
  <c r="W45" i="1" s="1"/>
  <c r="D47" i="1"/>
  <c r="M46" i="1"/>
  <c r="S46" i="1"/>
  <c r="P46" i="1"/>
  <c r="V46" i="1"/>
  <c r="E46" i="1"/>
  <c r="G46" i="1"/>
  <c r="J46" i="1"/>
  <c r="I46" i="1" l="1"/>
  <c r="K46" i="1" s="1"/>
  <c r="F46" i="1"/>
  <c r="H46" i="1" s="1"/>
  <c r="O46" i="1"/>
  <c r="Q46" i="1" s="1"/>
  <c r="R46" i="1"/>
  <c r="T46" i="1" s="1"/>
  <c r="L46" i="1"/>
  <c r="N46" i="1" s="1"/>
  <c r="U46" i="1"/>
  <c r="W46" i="1" s="1"/>
  <c r="J47" i="1"/>
  <c r="M47" i="1"/>
  <c r="D48" i="1"/>
  <c r="P47" i="1"/>
  <c r="S47" i="1"/>
  <c r="E47" i="1"/>
  <c r="G47" i="1"/>
  <c r="V47" i="1"/>
  <c r="I47" i="1" l="1"/>
  <c r="K47" i="1" s="1"/>
  <c r="F47" i="1"/>
  <c r="H47" i="1" s="1"/>
  <c r="L47" i="1"/>
  <c r="N47" i="1" s="1"/>
  <c r="U47" i="1"/>
  <c r="W47" i="1" s="1"/>
  <c r="R47" i="1"/>
  <c r="T47" i="1" s="1"/>
  <c r="O47" i="1"/>
  <c r="Q47" i="1" s="1"/>
  <c r="D49" i="1"/>
  <c r="E48" i="1"/>
  <c r="M48" i="1"/>
  <c r="P48" i="1"/>
  <c r="G48" i="1"/>
  <c r="J48" i="1"/>
  <c r="S48" i="1"/>
  <c r="V48" i="1"/>
  <c r="L48" i="1" l="1"/>
  <c r="N48" i="1" s="1"/>
  <c r="I48" i="1"/>
  <c r="K48" i="1" s="1"/>
  <c r="F48" i="1"/>
  <c r="H48" i="1" s="1"/>
  <c r="U48" i="1"/>
  <c r="W48" i="1" s="1"/>
  <c r="O48" i="1"/>
  <c r="Q48" i="1" s="1"/>
  <c r="R48" i="1"/>
  <c r="T48" i="1" s="1"/>
  <c r="J49" i="1"/>
  <c r="M49" i="1"/>
  <c r="P49" i="1"/>
  <c r="S49" i="1"/>
  <c r="G49" i="1"/>
  <c r="D50" i="1"/>
  <c r="E49" i="1"/>
  <c r="V49" i="1"/>
  <c r="E50" i="1" l="1"/>
  <c r="D51" i="1"/>
  <c r="G50" i="1"/>
  <c r="M50" i="1"/>
  <c r="P50" i="1"/>
  <c r="S50" i="1"/>
  <c r="V50" i="1"/>
  <c r="J50" i="1"/>
  <c r="L49" i="1"/>
  <c r="N49" i="1" s="1"/>
  <c r="I49" i="1"/>
  <c r="K49" i="1" s="1"/>
  <c r="F49" i="1"/>
  <c r="H49" i="1" s="1"/>
  <c r="R49" i="1"/>
  <c r="T49" i="1" s="1"/>
  <c r="U49" i="1"/>
  <c r="W49" i="1" s="1"/>
  <c r="O49" i="1"/>
  <c r="Q49" i="1" s="1"/>
  <c r="J51" i="1" l="1"/>
  <c r="P51" i="1"/>
  <c r="D52" i="1"/>
  <c r="V51" i="1"/>
  <c r="S51" i="1"/>
  <c r="G51" i="1"/>
  <c r="M51" i="1"/>
  <c r="E51" i="1"/>
  <c r="L50" i="1"/>
  <c r="N50" i="1" s="1"/>
  <c r="F50" i="1"/>
  <c r="H50" i="1" s="1"/>
  <c r="I50" i="1"/>
  <c r="K50" i="1" s="1"/>
  <c r="O50" i="1"/>
  <c r="Q50" i="1" s="1"/>
  <c r="U50" i="1"/>
  <c r="W50" i="1" s="1"/>
  <c r="R50" i="1"/>
  <c r="T50" i="1" s="1"/>
  <c r="D53" i="1" l="1"/>
  <c r="P52" i="1"/>
  <c r="E52" i="1"/>
  <c r="G52" i="1"/>
  <c r="S52" i="1"/>
  <c r="V52" i="1"/>
  <c r="J52" i="1"/>
  <c r="M52" i="1"/>
  <c r="O51" i="1"/>
  <c r="Q51" i="1" s="1"/>
  <c r="I51" i="1"/>
  <c r="K51" i="1" s="1"/>
  <c r="L51" i="1"/>
  <c r="N51" i="1" s="1"/>
  <c r="F51" i="1"/>
  <c r="H51" i="1" s="1"/>
  <c r="R51" i="1"/>
  <c r="T51" i="1" s="1"/>
  <c r="U51" i="1"/>
  <c r="W51" i="1" s="1"/>
  <c r="O52" i="1" l="1"/>
  <c r="Q52" i="1" s="1"/>
  <c r="I52" i="1"/>
  <c r="K52" i="1" s="1"/>
  <c r="F52" i="1"/>
  <c r="H52" i="1" s="1"/>
  <c r="L52" i="1"/>
  <c r="N52" i="1" s="1"/>
  <c r="U52" i="1"/>
  <c r="W52" i="1" s="1"/>
  <c r="R52" i="1"/>
  <c r="T52" i="1" s="1"/>
  <c r="E53" i="1"/>
  <c r="G53" i="1"/>
  <c r="J53" i="1"/>
  <c r="V53" i="1"/>
  <c r="S53" i="1"/>
  <c r="M53" i="1"/>
  <c r="P53" i="1"/>
  <c r="D54" i="1"/>
  <c r="D55" i="1" l="1"/>
  <c r="M54" i="1"/>
  <c r="S54" i="1"/>
  <c r="E54" i="1"/>
  <c r="V54" i="1"/>
  <c r="G54" i="1"/>
  <c r="J54" i="1"/>
  <c r="P54" i="1"/>
  <c r="O53" i="1"/>
  <c r="Q53" i="1" s="1"/>
  <c r="F53" i="1"/>
  <c r="H53" i="1" s="1"/>
  <c r="I53" i="1"/>
  <c r="K53" i="1" s="1"/>
  <c r="L53" i="1"/>
  <c r="N53" i="1" s="1"/>
  <c r="R53" i="1"/>
  <c r="T53" i="1" s="1"/>
  <c r="U53" i="1"/>
  <c r="W53" i="1" s="1"/>
  <c r="R54" i="1" l="1"/>
  <c r="T54" i="1" s="1"/>
  <c r="L54" i="1"/>
  <c r="N54" i="1" s="1"/>
  <c r="F54" i="1"/>
  <c r="H54" i="1" s="1"/>
  <c r="I54" i="1"/>
  <c r="K54" i="1" s="1"/>
  <c r="U54" i="1"/>
  <c r="W54" i="1" s="1"/>
  <c r="O54" i="1"/>
  <c r="Q54" i="1" s="1"/>
  <c r="D56" i="1"/>
  <c r="S55" i="1"/>
  <c r="V55" i="1"/>
  <c r="M55" i="1"/>
  <c r="P55" i="1"/>
  <c r="E55" i="1"/>
  <c r="J55" i="1"/>
  <c r="G55" i="1"/>
  <c r="R55" i="1" l="1"/>
  <c r="T55" i="1" s="1"/>
  <c r="U55" i="1"/>
  <c r="W55" i="1" s="1"/>
  <c r="O55" i="1"/>
  <c r="Q55" i="1" s="1"/>
  <c r="F55" i="1"/>
  <c r="H55" i="1" s="1"/>
  <c r="I55" i="1"/>
  <c r="K55" i="1" s="1"/>
  <c r="L55" i="1"/>
  <c r="N55" i="1" s="1"/>
  <c r="G56" i="1"/>
  <c r="V56" i="1"/>
  <c r="E56" i="1"/>
  <c r="M56" i="1"/>
  <c r="P56" i="1"/>
  <c r="S56" i="1"/>
  <c r="J56" i="1"/>
  <c r="R56" i="1" l="1"/>
  <c r="T56" i="1" s="1"/>
  <c r="O56" i="1"/>
  <c r="Q56" i="1" s="1"/>
  <c r="F56" i="1"/>
  <c r="H56" i="1" s="1"/>
  <c r="L56" i="1"/>
  <c r="N56" i="1" s="1"/>
  <c r="U56" i="1"/>
  <c r="W56" i="1" s="1"/>
  <c r="I56" i="1"/>
  <c r="K56" i="1" s="1"/>
</calcChain>
</file>

<file path=xl/sharedStrings.xml><?xml version="1.0" encoding="utf-8"?>
<sst xmlns="http://schemas.openxmlformats.org/spreadsheetml/2006/main" count="27" uniqueCount="11">
  <si>
    <t>clickdiv</t>
  </si>
  <si>
    <t>ZoomCtrl</t>
  </si>
  <si>
    <t>base</t>
  </si>
  <si>
    <t>Clicks</t>
  </si>
  <si>
    <t>logstep</t>
  </si>
  <si>
    <t>majorx</t>
  </si>
  <si>
    <t>majorX</t>
  </si>
  <si>
    <t>px</t>
  </si>
  <si>
    <t>zoom</t>
  </si>
  <si>
    <t>start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</si>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</sst>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2" xfId="0" applyNumberFormat="1" applyBorder="1"/>
    <xf numFmtId="1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2" xfId="0" applyNumberFormat="1" applyFill="1" applyBorder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6"/>
          <c:tx>
            <c:strRef>
              <c:f>Sheet1!$F$7</c:f>
              <c:strCache>
                <c:ptCount val="1"/>
                <c:pt idx="0">
                  <c:v>majorX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Sheet1!$D$8:$D$56</c:f>
              <c:numCache>
                <c:formatCode>General</c:formatCode>
                <c:ptCount val="49"/>
                <c:pt idx="0">
                  <c:v>-2640</c:v>
                </c:pt>
                <c:pt idx="1">
                  <c:v>-2520</c:v>
                </c:pt>
                <c:pt idx="2">
                  <c:v>-2400</c:v>
                </c:pt>
                <c:pt idx="3">
                  <c:v>-2280</c:v>
                </c:pt>
                <c:pt idx="4">
                  <c:v>-2160</c:v>
                </c:pt>
                <c:pt idx="5">
                  <c:v>-2040</c:v>
                </c:pt>
                <c:pt idx="6">
                  <c:v>-1920</c:v>
                </c:pt>
                <c:pt idx="7">
                  <c:v>-1800</c:v>
                </c:pt>
                <c:pt idx="8">
                  <c:v>-1680</c:v>
                </c:pt>
                <c:pt idx="9">
                  <c:v>-1560</c:v>
                </c:pt>
                <c:pt idx="10">
                  <c:v>-1440</c:v>
                </c:pt>
                <c:pt idx="11">
                  <c:v>-1320</c:v>
                </c:pt>
                <c:pt idx="12">
                  <c:v>-1200</c:v>
                </c:pt>
                <c:pt idx="13">
                  <c:v>-1080</c:v>
                </c:pt>
                <c:pt idx="14">
                  <c:v>-960</c:v>
                </c:pt>
                <c:pt idx="15">
                  <c:v>-840</c:v>
                </c:pt>
                <c:pt idx="16">
                  <c:v>-720</c:v>
                </c:pt>
                <c:pt idx="17">
                  <c:v>-600</c:v>
                </c:pt>
                <c:pt idx="18">
                  <c:v>-480</c:v>
                </c:pt>
                <c:pt idx="19">
                  <c:v>-360</c:v>
                </c:pt>
                <c:pt idx="20">
                  <c:v>-240</c:v>
                </c:pt>
                <c:pt idx="21">
                  <c:v>-120</c:v>
                </c:pt>
                <c:pt idx="22">
                  <c:v>0</c:v>
                </c:pt>
                <c:pt idx="23">
                  <c:v>120</c:v>
                </c:pt>
                <c:pt idx="24">
                  <c:v>240</c:v>
                </c:pt>
                <c:pt idx="25">
                  <c:v>360</c:v>
                </c:pt>
                <c:pt idx="26">
                  <c:v>480</c:v>
                </c:pt>
                <c:pt idx="27">
                  <c:v>600</c:v>
                </c:pt>
                <c:pt idx="28">
                  <c:v>720</c:v>
                </c:pt>
                <c:pt idx="29">
                  <c:v>840</c:v>
                </c:pt>
                <c:pt idx="30">
                  <c:v>960</c:v>
                </c:pt>
                <c:pt idx="31">
                  <c:v>1080</c:v>
                </c:pt>
                <c:pt idx="32">
                  <c:v>1200</c:v>
                </c:pt>
                <c:pt idx="33">
                  <c:v>1320</c:v>
                </c:pt>
                <c:pt idx="34">
                  <c:v>1440</c:v>
                </c:pt>
                <c:pt idx="35">
                  <c:v>1560</c:v>
                </c:pt>
                <c:pt idx="36">
                  <c:v>1680</c:v>
                </c:pt>
                <c:pt idx="37">
                  <c:v>1800</c:v>
                </c:pt>
                <c:pt idx="38">
                  <c:v>1920</c:v>
                </c:pt>
                <c:pt idx="39">
                  <c:v>2040</c:v>
                </c:pt>
                <c:pt idx="40">
                  <c:v>2160</c:v>
                </c:pt>
                <c:pt idx="41">
                  <c:v>2280</c:v>
                </c:pt>
                <c:pt idx="42">
                  <c:v>2400</c:v>
                </c:pt>
                <c:pt idx="43">
                  <c:v>2520</c:v>
                </c:pt>
                <c:pt idx="44">
                  <c:v>2640</c:v>
                </c:pt>
                <c:pt idx="45">
                  <c:v>2760</c:v>
                </c:pt>
                <c:pt idx="46">
                  <c:v>2880</c:v>
                </c:pt>
                <c:pt idx="47">
                  <c:v>3000</c:v>
                </c:pt>
                <c:pt idx="48">
                  <c:v>3120</c:v>
                </c:pt>
              </c:numCache>
            </c:numRef>
          </c:xVal>
          <c:yVal>
            <c:numRef>
              <c:f>Sheet1!$H$8:$H$56</c:f>
              <c:numCache>
                <c:formatCode>0</c:formatCode>
                <c:ptCount val="49"/>
                <c:pt idx="0">
                  <c:v>298.57055729177836</c:v>
                </c:pt>
                <c:pt idx="1">
                  <c:v>309.09962525595057</c:v>
                </c:pt>
                <c:pt idx="2">
                  <c:v>160</c:v>
                </c:pt>
                <c:pt idx="3">
                  <c:v>165.64238781462041</c:v>
                </c:pt>
                <c:pt idx="4">
                  <c:v>171.4837540058069</c:v>
                </c:pt>
                <c:pt idx="5">
                  <c:v>177.5311155308552</c:v>
                </c:pt>
                <c:pt idx="6">
                  <c:v>183.79173679952561</c:v>
                </c:pt>
                <c:pt idx="7">
                  <c:v>190.27313840043536</c:v>
                </c:pt>
                <c:pt idx="8">
                  <c:v>196.9831061351866</c:v>
                </c:pt>
                <c:pt idx="9">
                  <c:v>203.92970037108194</c:v>
                </c:pt>
                <c:pt idx="10">
                  <c:v>211.1212657236631</c:v>
                </c:pt>
                <c:pt idx="11">
                  <c:v>218.56644108070327</c:v>
                </c:pt>
                <c:pt idx="12">
                  <c:v>226.27416997969519</c:v>
                </c:pt>
                <c:pt idx="13">
                  <c:v>234.25371135130007</c:v>
                </c:pt>
                <c:pt idx="14">
                  <c:v>242.51465064166371</c:v>
                </c:pt>
                <c:pt idx="15">
                  <c:v>251.06691132696025</c:v>
                </c:pt>
                <c:pt idx="16">
                  <c:v>259.92076683399534</c:v>
                </c:pt>
                <c:pt idx="17">
                  <c:v>269.08685288118869</c:v>
                </c:pt>
                <c:pt idx="18">
                  <c:v>278.57618025475972</c:v>
                </c:pt>
                <c:pt idx="19">
                  <c:v>288.40014803546569</c:v>
                </c:pt>
                <c:pt idx="20">
                  <c:v>298.57055729177836</c:v>
                </c:pt>
                <c:pt idx="21">
                  <c:v>309.09962525595057</c:v>
                </c:pt>
                <c:pt idx="22">
                  <c:v>160</c:v>
                </c:pt>
                <c:pt idx="23">
                  <c:v>165.64238781462041</c:v>
                </c:pt>
                <c:pt idx="24">
                  <c:v>171.4837540058069</c:v>
                </c:pt>
                <c:pt idx="25">
                  <c:v>177.5311155308552</c:v>
                </c:pt>
                <c:pt idx="26">
                  <c:v>183.79173679952561</c:v>
                </c:pt>
                <c:pt idx="27">
                  <c:v>190.27313840043536</c:v>
                </c:pt>
                <c:pt idx="28">
                  <c:v>196.9831061351866</c:v>
                </c:pt>
                <c:pt idx="29">
                  <c:v>203.92970037108194</c:v>
                </c:pt>
                <c:pt idx="30">
                  <c:v>211.12126572366307</c:v>
                </c:pt>
                <c:pt idx="31">
                  <c:v>218.56644108070327</c:v>
                </c:pt>
                <c:pt idx="32">
                  <c:v>226.27416997969522</c:v>
                </c:pt>
                <c:pt idx="33">
                  <c:v>234.25371135130007</c:v>
                </c:pt>
                <c:pt idx="34">
                  <c:v>242.51465064166368</c:v>
                </c:pt>
                <c:pt idx="35">
                  <c:v>251.06691132696025</c:v>
                </c:pt>
                <c:pt idx="36">
                  <c:v>259.92076683399534</c:v>
                </c:pt>
                <c:pt idx="37">
                  <c:v>269.08685288118863</c:v>
                </c:pt>
                <c:pt idx="38">
                  <c:v>278.57618025475972</c:v>
                </c:pt>
                <c:pt idx="39">
                  <c:v>288.40014803546569</c:v>
                </c:pt>
                <c:pt idx="40">
                  <c:v>298.57055729177836</c:v>
                </c:pt>
                <c:pt idx="41">
                  <c:v>309.09962525595057</c:v>
                </c:pt>
                <c:pt idx="42">
                  <c:v>160</c:v>
                </c:pt>
                <c:pt idx="43">
                  <c:v>165.64238781462041</c:v>
                </c:pt>
                <c:pt idx="44">
                  <c:v>171.4837540058069</c:v>
                </c:pt>
                <c:pt idx="45">
                  <c:v>177.53111553085517</c:v>
                </c:pt>
                <c:pt idx="46">
                  <c:v>183.79173679952561</c:v>
                </c:pt>
                <c:pt idx="47">
                  <c:v>190.27313840043536</c:v>
                </c:pt>
                <c:pt idx="48">
                  <c:v>196.9831061351866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C01-480E-AC7E-45F93302D7D7}"/>
            </c:ext>
          </c:extLst>
        </c:ser>
        <c:ser>
          <c:idx val="1"/>
          <c:order val="7"/>
          <c:tx>
            <c:strRef>
              <c:f>Sheet1!$I$7</c:f>
              <c:strCache>
                <c:ptCount val="1"/>
                <c:pt idx="0">
                  <c:v>majorX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Sheet1!$D$8:$D$56</c:f>
              <c:numCache>
                <c:formatCode>General</c:formatCode>
                <c:ptCount val="49"/>
                <c:pt idx="0">
                  <c:v>-2640</c:v>
                </c:pt>
                <c:pt idx="1">
                  <c:v>-2520</c:v>
                </c:pt>
                <c:pt idx="2">
                  <c:v>-2400</c:v>
                </c:pt>
                <c:pt idx="3">
                  <c:v>-2280</c:v>
                </c:pt>
                <c:pt idx="4">
                  <c:v>-2160</c:v>
                </c:pt>
                <c:pt idx="5">
                  <c:v>-2040</c:v>
                </c:pt>
                <c:pt idx="6">
                  <c:v>-1920</c:v>
                </c:pt>
                <c:pt idx="7">
                  <c:v>-1800</c:v>
                </c:pt>
                <c:pt idx="8">
                  <c:v>-1680</c:v>
                </c:pt>
                <c:pt idx="9">
                  <c:v>-1560</c:v>
                </c:pt>
                <c:pt idx="10">
                  <c:v>-1440</c:v>
                </c:pt>
                <c:pt idx="11">
                  <c:v>-1320</c:v>
                </c:pt>
                <c:pt idx="12">
                  <c:v>-1200</c:v>
                </c:pt>
                <c:pt idx="13">
                  <c:v>-1080</c:v>
                </c:pt>
                <c:pt idx="14">
                  <c:v>-960</c:v>
                </c:pt>
                <c:pt idx="15">
                  <c:v>-840</c:v>
                </c:pt>
                <c:pt idx="16">
                  <c:v>-720</c:v>
                </c:pt>
                <c:pt idx="17">
                  <c:v>-600</c:v>
                </c:pt>
                <c:pt idx="18">
                  <c:v>-480</c:v>
                </c:pt>
                <c:pt idx="19">
                  <c:v>-360</c:v>
                </c:pt>
                <c:pt idx="20">
                  <c:v>-240</c:v>
                </c:pt>
                <c:pt idx="21">
                  <c:v>-120</c:v>
                </c:pt>
                <c:pt idx="22">
                  <c:v>0</c:v>
                </c:pt>
                <c:pt idx="23">
                  <c:v>120</c:v>
                </c:pt>
                <c:pt idx="24">
                  <c:v>240</c:v>
                </c:pt>
                <c:pt idx="25">
                  <c:v>360</c:v>
                </c:pt>
                <c:pt idx="26">
                  <c:v>480</c:v>
                </c:pt>
                <c:pt idx="27">
                  <c:v>600</c:v>
                </c:pt>
                <c:pt idx="28">
                  <c:v>720</c:v>
                </c:pt>
                <c:pt idx="29">
                  <c:v>840</c:v>
                </c:pt>
                <c:pt idx="30">
                  <c:v>960</c:v>
                </c:pt>
                <c:pt idx="31">
                  <c:v>1080</c:v>
                </c:pt>
                <c:pt idx="32">
                  <c:v>1200</c:v>
                </c:pt>
                <c:pt idx="33">
                  <c:v>1320</c:v>
                </c:pt>
                <c:pt idx="34">
                  <c:v>1440</c:v>
                </c:pt>
                <c:pt idx="35">
                  <c:v>1560</c:v>
                </c:pt>
                <c:pt idx="36">
                  <c:v>1680</c:v>
                </c:pt>
                <c:pt idx="37">
                  <c:v>1800</c:v>
                </c:pt>
                <c:pt idx="38">
                  <c:v>1920</c:v>
                </c:pt>
                <c:pt idx="39">
                  <c:v>2040</c:v>
                </c:pt>
                <c:pt idx="40">
                  <c:v>2160</c:v>
                </c:pt>
                <c:pt idx="41">
                  <c:v>2280</c:v>
                </c:pt>
                <c:pt idx="42">
                  <c:v>2400</c:v>
                </c:pt>
                <c:pt idx="43">
                  <c:v>2520</c:v>
                </c:pt>
                <c:pt idx="44">
                  <c:v>2640</c:v>
                </c:pt>
                <c:pt idx="45">
                  <c:v>2760</c:v>
                </c:pt>
                <c:pt idx="46">
                  <c:v>2880</c:v>
                </c:pt>
                <c:pt idx="47">
                  <c:v>3000</c:v>
                </c:pt>
                <c:pt idx="48">
                  <c:v>3120</c:v>
                </c:pt>
              </c:numCache>
            </c:numRef>
          </c:xVal>
          <c:yVal>
            <c:numRef>
              <c:f>Sheet1!$K$8:$K$56</c:f>
              <c:numCache>
                <c:formatCode>0</c:formatCode>
                <c:ptCount val="49"/>
                <c:pt idx="0">
                  <c:v>557.15236050951955</c:v>
                </c:pt>
                <c:pt idx="1">
                  <c:v>597.14111458355671</c:v>
                </c:pt>
                <c:pt idx="2">
                  <c:v>160</c:v>
                </c:pt>
                <c:pt idx="3">
                  <c:v>171.4837540058069</c:v>
                </c:pt>
                <c:pt idx="4">
                  <c:v>183.79173679952561</c:v>
                </c:pt>
                <c:pt idx="5">
                  <c:v>196.9831061351866</c:v>
                </c:pt>
                <c:pt idx="6">
                  <c:v>211.1212657236631</c:v>
                </c:pt>
                <c:pt idx="7">
                  <c:v>226.27416997969522</c:v>
                </c:pt>
                <c:pt idx="8">
                  <c:v>242.51465064166371</c:v>
                </c:pt>
                <c:pt idx="9">
                  <c:v>259.92076683399534</c:v>
                </c:pt>
                <c:pt idx="10">
                  <c:v>278.57618025475972</c:v>
                </c:pt>
                <c:pt idx="11">
                  <c:v>298.57055729177836</c:v>
                </c:pt>
                <c:pt idx="12">
                  <c:v>320</c:v>
                </c:pt>
                <c:pt idx="13">
                  <c:v>342.9675080116138</c:v>
                </c:pt>
                <c:pt idx="14">
                  <c:v>367.58347359905122</c:v>
                </c:pt>
                <c:pt idx="15">
                  <c:v>393.96621227037321</c:v>
                </c:pt>
                <c:pt idx="16">
                  <c:v>422.2425314473262</c:v>
                </c:pt>
                <c:pt idx="17">
                  <c:v>452.54833995939043</c:v>
                </c:pt>
                <c:pt idx="18">
                  <c:v>485.02930128332741</c:v>
                </c:pt>
                <c:pt idx="19">
                  <c:v>519.84153366799069</c:v>
                </c:pt>
                <c:pt idx="20">
                  <c:v>557.15236050951944</c:v>
                </c:pt>
                <c:pt idx="21">
                  <c:v>597.14111458355671</c:v>
                </c:pt>
                <c:pt idx="22">
                  <c:v>160</c:v>
                </c:pt>
                <c:pt idx="23">
                  <c:v>171.4837540058069</c:v>
                </c:pt>
                <c:pt idx="24">
                  <c:v>183.79173679952561</c:v>
                </c:pt>
                <c:pt idx="25">
                  <c:v>196.9831061351866</c:v>
                </c:pt>
                <c:pt idx="26">
                  <c:v>211.12126572366307</c:v>
                </c:pt>
                <c:pt idx="27">
                  <c:v>226.27416997969519</c:v>
                </c:pt>
                <c:pt idx="28">
                  <c:v>242.51465064166368</c:v>
                </c:pt>
                <c:pt idx="29">
                  <c:v>259.92076683399534</c:v>
                </c:pt>
                <c:pt idx="30">
                  <c:v>278.57618025475972</c:v>
                </c:pt>
                <c:pt idx="31">
                  <c:v>298.57055729177836</c:v>
                </c:pt>
                <c:pt idx="32">
                  <c:v>320</c:v>
                </c:pt>
                <c:pt idx="33">
                  <c:v>342.9675080116138</c:v>
                </c:pt>
                <c:pt idx="34">
                  <c:v>367.58347359905122</c:v>
                </c:pt>
                <c:pt idx="35">
                  <c:v>393.96621227037321</c:v>
                </c:pt>
                <c:pt idx="36">
                  <c:v>422.24253144732614</c:v>
                </c:pt>
                <c:pt idx="37">
                  <c:v>452.54833995939038</c:v>
                </c:pt>
                <c:pt idx="38">
                  <c:v>485.02930128332736</c:v>
                </c:pt>
                <c:pt idx="39">
                  <c:v>519.84153366799069</c:v>
                </c:pt>
                <c:pt idx="40">
                  <c:v>557.15236050951944</c:v>
                </c:pt>
                <c:pt idx="41">
                  <c:v>597.14111458355671</c:v>
                </c:pt>
                <c:pt idx="42">
                  <c:v>160</c:v>
                </c:pt>
                <c:pt idx="43">
                  <c:v>171.4837540058069</c:v>
                </c:pt>
                <c:pt idx="44">
                  <c:v>183.79173679952558</c:v>
                </c:pt>
                <c:pt idx="45">
                  <c:v>196.98310613518657</c:v>
                </c:pt>
                <c:pt idx="46">
                  <c:v>211.12126572366307</c:v>
                </c:pt>
                <c:pt idx="47">
                  <c:v>226.27416997969522</c:v>
                </c:pt>
                <c:pt idx="48">
                  <c:v>242.51465064166368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C01-480E-AC7E-45F93302D7D7}"/>
            </c:ext>
          </c:extLst>
        </c:ser>
        <c:ser>
          <c:idx val="2"/>
          <c:order val="8"/>
          <c:tx>
            <c:strRef>
              <c:f>Sheet1!$L$7</c:f>
              <c:strCache>
                <c:ptCount val="1"/>
                <c:pt idx="0">
                  <c:v>majorX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Sheet1!$D$8:$D$56</c:f>
              <c:numCache>
                <c:formatCode>General</c:formatCode>
                <c:ptCount val="49"/>
                <c:pt idx="0">
                  <c:v>-2640</c:v>
                </c:pt>
                <c:pt idx="1">
                  <c:v>-2520</c:v>
                </c:pt>
                <c:pt idx="2">
                  <c:v>-2400</c:v>
                </c:pt>
                <c:pt idx="3">
                  <c:v>-2280</c:v>
                </c:pt>
                <c:pt idx="4">
                  <c:v>-2160</c:v>
                </c:pt>
                <c:pt idx="5">
                  <c:v>-2040</c:v>
                </c:pt>
                <c:pt idx="6">
                  <c:v>-1920</c:v>
                </c:pt>
                <c:pt idx="7">
                  <c:v>-1800</c:v>
                </c:pt>
                <c:pt idx="8">
                  <c:v>-1680</c:v>
                </c:pt>
                <c:pt idx="9">
                  <c:v>-1560</c:v>
                </c:pt>
                <c:pt idx="10">
                  <c:v>-1440</c:v>
                </c:pt>
                <c:pt idx="11">
                  <c:v>-1320</c:v>
                </c:pt>
                <c:pt idx="12">
                  <c:v>-1200</c:v>
                </c:pt>
                <c:pt idx="13">
                  <c:v>-1080</c:v>
                </c:pt>
                <c:pt idx="14">
                  <c:v>-960</c:v>
                </c:pt>
                <c:pt idx="15">
                  <c:v>-840</c:v>
                </c:pt>
                <c:pt idx="16">
                  <c:v>-720</c:v>
                </c:pt>
                <c:pt idx="17">
                  <c:v>-600</c:v>
                </c:pt>
                <c:pt idx="18">
                  <c:v>-480</c:v>
                </c:pt>
                <c:pt idx="19">
                  <c:v>-360</c:v>
                </c:pt>
                <c:pt idx="20">
                  <c:v>-240</c:v>
                </c:pt>
                <c:pt idx="21">
                  <c:v>-120</c:v>
                </c:pt>
                <c:pt idx="22">
                  <c:v>0</c:v>
                </c:pt>
                <c:pt idx="23">
                  <c:v>120</c:v>
                </c:pt>
                <c:pt idx="24">
                  <c:v>240</c:v>
                </c:pt>
                <c:pt idx="25">
                  <c:v>360</c:v>
                </c:pt>
                <c:pt idx="26">
                  <c:v>480</c:v>
                </c:pt>
                <c:pt idx="27">
                  <c:v>600</c:v>
                </c:pt>
                <c:pt idx="28">
                  <c:v>720</c:v>
                </c:pt>
                <c:pt idx="29">
                  <c:v>840</c:v>
                </c:pt>
                <c:pt idx="30">
                  <c:v>960</c:v>
                </c:pt>
                <c:pt idx="31">
                  <c:v>1080</c:v>
                </c:pt>
                <c:pt idx="32">
                  <c:v>1200</c:v>
                </c:pt>
                <c:pt idx="33">
                  <c:v>1320</c:v>
                </c:pt>
                <c:pt idx="34">
                  <c:v>1440</c:v>
                </c:pt>
                <c:pt idx="35">
                  <c:v>1560</c:v>
                </c:pt>
                <c:pt idx="36">
                  <c:v>1680</c:v>
                </c:pt>
                <c:pt idx="37">
                  <c:v>1800</c:v>
                </c:pt>
                <c:pt idx="38">
                  <c:v>1920</c:v>
                </c:pt>
                <c:pt idx="39">
                  <c:v>2040</c:v>
                </c:pt>
                <c:pt idx="40">
                  <c:v>2160</c:v>
                </c:pt>
                <c:pt idx="41">
                  <c:v>2280</c:v>
                </c:pt>
                <c:pt idx="42">
                  <c:v>2400</c:v>
                </c:pt>
                <c:pt idx="43">
                  <c:v>2520</c:v>
                </c:pt>
                <c:pt idx="44">
                  <c:v>2640</c:v>
                </c:pt>
                <c:pt idx="45">
                  <c:v>2760</c:v>
                </c:pt>
                <c:pt idx="46">
                  <c:v>2880</c:v>
                </c:pt>
                <c:pt idx="47">
                  <c:v>3000</c:v>
                </c:pt>
                <c:pt idx="48">
                  <c:v>3120</c:v>
                </c:pt>
              </c:numCache>
            </c:numRef>
          </c:xVal>
          <c:yVal>
            <c:numRef>
              <c:f>Sheet1!$N$8:$N$56</c:f>
              <c:numCache>
                <c:formatCode>0</c:formatCode>
                <c:ptCount val="49"/>
                <c:pt idx="0">
                  <c:v>681.07193801662754</c:v>
                </c:pt>
                <c:pt idx="1">
                  <c:v>738.14466767247063</c:v>
                </c:pt>
                <c:pt idx="2">
                  <c:v>160</c:v>
                </c:pt>
                <c:pt idx="3">
                  <c:v>173.40774187749892</c:v>
                </c:pt>
                <c:pt idx="4">
                  <c:v>187.939030894083</c:v>
                </c:pt>
                <c:pt idx="5">
                  <c:v>203.68801848742783</c:v>
                </c:pt>
                <c:pt idx="6">
                  <c:v>220.75674583379435</c:v>
                </c:pt>
                <c:pt idx="7">
                  <c:v>239.25580499539532</c:v>
                </c:pt>
                <c:pt idx="8">
                  <c:v>259.30505547084203</c:v>
                </c:pt>
                <c:pt idx="9">
                  <c:v>281.03440079136442</c:v>
                </c:pt>
                <c:pt idx="10">
                  <c:v>304.58463019454058</c:v>
                </c:pt>
                <c:pt idx="11">
                  <c:v>330.10833082892714</c:v>
                </c:pt>
                <c:pt idx="12">
                  <c:v>357.77087639996637</c:v>
                </c:pt>
                <c:pt idx="13">
                  <c:v>387.75149866282453</c:v>
                </c:pt>
                <c:pt idx="14">
                  <c:v>420.24444870460275</c:v>
                </c:pt>
                <c:pt idx="15">
                  <c:v>455.46025554012249</c:v>
                </c:pt>
                <c:pt idx="16">
                  <c:v>493.6270901760077</c:v>
                </c:pt>
                <c:pt idx="17">
                  <c:v>534.99224398113756</c:v>
                </c:pt>
                <c:pt idx="18">
                  <c:v>579.82373094215643</c:v>
                </c:pt>
                <c:pt idx="19">
                  <c:v>628.4120241854115</c:v>
                </c:pt>
                <c:pt idx="20">
                  <c:v>681.07193801662766</c:v>
                </c:pt>
                <c:pt idx="21">
                  <c:v>738.14466767247063</c:v>
                </c:pt>
                <c:pt idx="22">
                  <c:v>160</c:v>
                </c:pt>
                <c:pt idx="23">
                  <c:v>173.40774187749889</c:v>
                </c:pt>
                <c:pt idx="24">
                  <c:v>187.93903089408303</c:v>
                </c:pt>
                <c:pt idx="25">
                  <c:v>203.68801848742777</c:v>
                </c:pt>
                <c:pt idx="26">
                  <c:v>220.75674583379438</c:v>
                </c:pt>
                <c:pt idx="27">
                  <c:v>239.25580499539529</c:v>
                </c:pt>
                <c:pt idx="28">
                  <c:v>259.30505547084198</c:v>
                </c:pt>
                <c:pt idx="29">
                  <c:v>281.03440079136436</c:v>
                </c:pt>
                <c:pt idx="30">
                  <c:v>304.58463019454058</c:v>
                </c:pt>
                <c:pt idx="31">
                  <c:v>330.10833082892714</c:v>
                </c:pt>
                <c:pt idx="32">
                  <c:v>357.77087639996637</c:v>
                </c:pt>
                <c:pt idx="33">
                  <c:v>387.75149866282453</c:v>
                </c:pt>
                <c:pt idx="34">
                  <c:v>420.24444870460275</c:v>
                </c:pt>
                <c:pt idx="35">
                  <c:v>455.46025554012238</c:v>
                </c:pt>
                <c:pt idx="36">
                  <c:v>493.62709017600764</c:v>
                </c:pt>
                <c:pt idx="37">
                  <c:v>534.99224398113756</c:v>
                </c:pt>
                <c:pt idx="38">
                  <c:v>579.82373094215643</c:v>
                </c:pt>
                <c:pt idx="39">
                  <c:v>628.41202418541138</c:v>
                </c:pt>
                <c:pt idx="40">
                  <c:v>681.07193801662777</c:v>
                </c:pt>
                <c:pt idx="41">
                  <c:v>738.14466767247052</c:v>
                </c:pt>
                <c:pt idx="42">
                  <c:v>160</c:v>
                </c:pt>
                <c:pt idx="43">
                  <c:v>173.40774187749889</c:v>
                </c:pt>
                <c:pt idx="44">
                  <c:v>187.93903089408306</c:v>
                </c:pt>
                <c:pt idx="45">
                  <c:v>203.68801848742774</c:v>
                </c:pt>
                <c:pt idx="46">
                  <c:v>220.75674583379433</c:v>
                </c:pt>
                <c:pt idx="47">
                  <c:v>239.25580499539527</c:v>
                </c:pt>
                <c:pt idx="48">
                  <c:v>259.30505547084198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C01-480E-AC7E-45F93302D7D7}"/>
            </c:ext>
          </c:extLst>
        </c:ser>
        <c:ser>
          <c:idx val="3"/>
          <c:order val="9"/>
          <c:tx>
            <c:strRef>
              <c:f>Sheet1!$O$7</c:f>
              <c:strCache>
                <c:ptCount val="1"/>
                <c:pt idx="0">
                  <c:v>majorX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Sheet1!$D$8:$D$56</c:f>
              <c:numCache>
                <c:formatCode>General</c:formatCode>
                <c:ptCount val="49"/>
                <c:pt idx="0">
                  <c:v>-2640</c:v>
                </c:pt>
                <c:pt idx="1">
                  <c:v>-2520</c:v>
                </c:pt>
                <c:pt idx="2">
                  <c:v>-2400</c:v>
                </c:pt>
                <c:pt idx="3">
                  <c:v>-2280</c:v>
                </c:pt>
                <c:pt idx="4">
                  <c:v>-2160</c:v>
                </c:pt>
                <c:pt idx="5">
                  <c:v>-2040</c:v>
                </c:pt>
                <c:pt idx="6">
                  <c:v>-1920</c:v>
                </c:pt>
                <c:pt idx="7">
                  <c:v>-1800</c:v>
                </c:pt>
                <c:pt idx="8">
                  <c:v>-1680</c:v>
                </c:pt>
                <c:pt idx="9">
                  <c:v>-1560</c:v>
                </c:pt>
                <c:pt idx="10">
                  <c:v>-1440</c:v>
                </c:pt>
                <c:pt idx="11">
                  <c:v>-1320</c:v>
                </c:pt>
                <c:pt idx="12">
                  <c:v>-1200</c:v>
                </c:pt>
                <c:pt idx="13">
                  <c:v>-1080</c:v>
                </c:pt>
                <c:pt idx="14">
                  <c:v>-960</c:v>
                </c:pt>
                <c:pt idx="15">
                  <c:v>-840</c:v>
                </c:pt>
                <c:pt idx="16">
                  <c:v>-720</c:v>
                </c:pt>
                <c:pt idx="17">
                  <c:v>-600</c:v>
                </c:pt>
                <c:pt idx="18">
                  <c:v>-480</c:v>
                </c:pt>
                <c:pt idx="19">
                  <c:v>-360</c:v>
                </c:pt>
                <c:pt idx="20">
                  <c:v>-240</c:v>
                </c:pt>
                <c:pt idx="21">
                  <c:v>-120</c:v>
                </c:pt>
                <c:pt idx="22">
                  <c:v>0</c:v>
                </c:pt>
                <c:pt idx="23">
                  <c:v>120</c:v>
                </c:pt>
                <c:pt idx="24">
                  <c:v>240</c:v>
                </c:pt>
                <c:pt idx="25">
                  <c:v>360</c:v>
                </c:pt>
                <c:pt idx="26">
                  <c:v>480</c:v>
                </c:pt>
                <c:pt idx="27">
                  <c:v>600</c:v>
                </c:pt>
                <c:pt idx="28">
                  <c:v>720</c:v>
                </c:pt>
                <c:pt idx="29">
                  <c:v>840</c:v>
                </c:pt>
                <c:pt idx="30">
                  <c:v>960</c:v>
                </c:pt>
                <c:pt idx="31">
                  <c:v>1080</c:v>
                </c:pt>
                <c:pt idx="32">
                  <c:v>1200</c:v>
                </c:pt>
                <c:pt idx="33">
                  <c:v>1320</c:v>
                </c:pt>
                <c:pt idx="34">
                  <c:v>1440</c:v>
                </c:pt>
                <c:pt idx="35">
                  <c:v>1560</c:v>
                </c:pt>
                <c:pt idx="36">
                  <c:v>1680</c:v>
                </c:pt>
                <c:pt idx="37">
                  <c:v>1800</c:v>
                </c:pt>
                <c:pt idx="38">
                  <c:v>1920</c:v>
                </c:pt>
                <c:pt idx="39">
                  <c:v>2040</c:v>
                </c:pt>
                <c:pt idx="40">
                  <c:v>2160</c:v>
                </c:pt>
                <c:pt idx="41">
                  <c:v>2280</c:v>
                </c:pt>
                <c:pt idx="42">
                  <c:v>2400</c:v>
                </c:pt>
                <c:pt idx="43">
                  <c:v>2520</c:v>
                </c:pt>
                <c:pt idx="44">
                  <c:v>2640</c:v>
                </c:pt>
                <c:pt idx="45">
                  <c:v>2760</c:v>
                </c:pt>
                <c:pt idx="46">
                  <c:v>2880</c:v>
                </c:pt>
                <c:pt idx="47">
                  <c:v>3000</c:v>
                </c:pt>
                <c:pt idx="48">
                  <c:v>3120</c:v>
                </c:pt>
              </c:numCache>
            </c:numRef>
          </c:xVal>
          <c:yVal>
            <c:numRef>
              <c:f>Sheet1!$Q$8:$Q$56</c:f>
              <c:numCache>
                <c:formatCode>0</c:formatCode>
                <c:ptCount val="49"/>
                <c:pt idx="0">
                  <c:v>1039.6830673359816</c:v>
                </c:pt>
                <c:pt idx="1">
                  <c:v>1153.600592141863</c:v>
                </c:pt>
                <c:pt idx="2">
                  <c:v>160</c:v>
                </c:pt>
                <c:pt idx="3">
                  <c:v>177.53111553085523</c:v>
                </c:pt>
                <c:pt idx="4">
                  <c:v>196.98310613518663</c:v>
                </c:pt>
                <c:pt idx="5">
                  <c:v>218.56644108070333</c:v>
                </c:pt>
                <c:pt idx="6">
                  <c:v>242.51465064166371</c:v>
                </c:pt>
                <c:pt idx="7">
                  <c:v>269.08685288118869</c:v>
                </c:pt>
                <c:pt idx="8">
                  <c:v>298.57055729177841</c:v>
                </c:pt>
                <c:pt idx="9">
                  <c:v>331.28477562924081</c:v>
                </c:pt>
                <c:pt idx="10">
                  <c:v>367.58347359905122</c:v>
                </c:pt>
                <c:pt idx="11">
                  <c:v>407.85940074216393</c:v>
                </c:pt>
                <c:pt idx="12">
                  <c:v>452.54833995939038</c:v>
                </c:pt>
                <c:pt idx="13">
                  <c:v>502.1338226539205</c:v>
                </c:pt>
                <c:pt idx="14">
                  <c:v>557.15236050951944</c:v>
                </c:pt>
                <c:pt idx="15">
                  <c:v>618.19925051190125</c:v>
                </c:pt>
                <c:pt idx="16">
                  <c:v>685.9350160232276</c:v>
                </c:pt>
                <c:pt idx="17">
                  <c:v>761.09255360174143</c:v>
                </c:pt>
                <c:pt idx="18">
                  <c:v>844.4850628946524</c:v>
                </c:pt>
                <c:pt idx="19">
                  <c:v>937.01484540520028</c:v>
                </c:pt>
                <c:pt idx="20">
                  <c:v>1039.6830673359814</c:v>
                </c:pt>
                <c:pt idx="21">
                  <c:v>1153.6005921418628</c:v>
                </c:pt>
                <c:pt idx="22">
                  <c:v>160</c:v>
                </c:pt>
                <c:pt idx="23">
                  <c:v>177.5311155308552</c:v>
                </c:pt>
                <c:pt idx="24">
                  <c:v>196.9831061351866</c:v>
                </c:pt>
                <c:pt idx="25">
                  <c:v>218.56644108070327</c:v>
                </c:pt>
                <c:pt idx="26">
                  <c:v>242.51465064166368</c:v>
                </c:pt>
                <c:pt idx="27">
                  <c:v>269.08685288118863</c:v>
                </c:pt>
                <c:pt idx="28">
                  <c:v>298.57055729177836</c:v>
                </c:pt>
                <c:pt idx="29">
                  <c:v>331.28477562924076</c:v>
                </c:pt>
                <c:pt idx="30">
                  <c:v>367.58347359905122</c:v>
                </c:pt>
                <c:pt idx="31">
                  <c:v>407.85940074216387</c:v>
                </c:pt>
                <c:pt idx="32">
                  <c:v>452.54833995939043</c:v>
                </c:pt>
                <c:pt idx="33">
                  <c:v>502.13382265392045</c:v>
                </c:pt>
                <c:pt idx="34">
                  <c:v>557.15236050951944</c:v>
                </c:pt>
                <c:pt idx="35">
                  <c:v>618.19925051190114</c:v>
                </c:pt>
                <c:pt idx="36">
                  <c:v>685.93501602322749</c:v>
                </c:pt>
                <c:pt idx="37">
                  <c:v>761.09255360174132</c:v>
                </c:pt>
                <c:pt idx="38">
                  <c:v>844.48506289465229</c:v>
                </c:pt>
                <c:pt idx="39">
                  <c:v>937.01484540520005</c:v>
                </c:pt>
                <c:pt idx="40">
                  <c:v>1039.6830673359814</c:v>
                </c:pt>
                <c:pt idx="41">
                  <c:v>1153.6005921418625</c:v>
                </c:pt>
                <c:pt idx="42">
                  <c:v>160</c:v>
                </c:pt>
                <c:pt idx="43">
                  <c:v>177.53111553085517</c:v>
                </c:pt>
                <c:pt idx="44">
                  <c:v>196.98310613518657</c:v>
                </c:pt>
                <c:pt idx="45">
                  <c:v>218.56644108070316</c:v>
                </c:pt>
                <c:pt idx="46">
                  <c:v>242.51465064166368</c:v>
                </c:pt>
                <c:pt idx="47">
                  <c:v>269.08685288118863</c:v>
                </c:pt>
                <c:pt idx="48">
                  <c:v>298.57055729177836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C01-480E-AC7E-45F93302D7D7}"/>
            </c:ext>
          </c:extLst>
        </c:ser>
        <c:ser>
          <c:idx val="4"/>
          <c:order val="10"/>
          <c:tx>
            <c:strRef>
              <c:f>Sheet1!$R$7</c:f>
              <c:strCache>
                <c:ptCount val="1"/>
                <c:pt idx="0">
                  <c:v>majorX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Sheet1!$D$8:$D$56</c:f>
              <c:numCache>
                <c:formatCode>General</c:formatCode>
                <c:ptCount val="49"/>
                <c:pt idx="0">
                  <c:v>-2640</c:v>
                </c:pt>
                <c:pt idx="1">
                  <c:v>-2520</c:v>
                </c:pt>
                <c:pt idx="2">
                  <c:v>-2400</c:v>
                </c:pt>
                <c:pt idx="3">
                  <c:v>-2280</c:v>
                </c:pt>
                <c:pt idx="4">
                  <c:v>-2160</c:v>
                </c:pt>
                <c:pt idx="5">
                  <c:v>-2040</c:v>
                </c:pt>
                <c:pt idx="6">
                  <c:v>-1920</c:v>
                </c:pt>
                <c:pt idx="7">
                  <c:v>-1800</c:v>
                </c:pt>
                <c:pt idx="8">
                  <c:v>-1680</c:v>
                </c:pt>
                <c:pt idx="9">
                  <c:v>-1560</c:v>
                </c:pt>
                <c:pt idx="10">
                  <c:v>-1440</c:v>
                </c:pt>
                <c:pt idx="11">
                  <c:v>-1320</c:v>
                </c:pt>
                <c:pt idx="12">
                  <c:v>-1200</c:v>
                </c:pt>
                <c:pt idx="13">
                  <c:v>-1080</c:v>
                </c:pt>
                <c:pt idx="14">
                  <c:v>-960</c:v>
                </c:pt>
                <c:pt idx="15">
                  <c:v>-840</c:v>
                </c:pt>
                <c:pt idx="16">
                  <c:v>-720</c:v>
                </c:pt>
                <c:pt idx="17">
                  <c:v>-600</c:v>
                </c:pt>
                <c:pt idx="18">
                  <c:v>-480</c:v>
                </c:pt>
                <c:pt idx="19">
                  <c:v>-360</c:v>
                </c:pt>
                <c:pt idx="20">
                  <c:v>-240</c:v>
                </c:pt>
                <c:pt idx="21">
                  <c:v>-120</c:v>
                </c:pt>
                <c:pt idx="22">
                  <c:v>0</c:v>
                </c:pt>
                <c:pt idx="23">
                  <c:v>120</c:v>
                </c:pt>
                <c:pt idx="24">
                  <c:v>240</c:v>
                </c:pt>
                <c:pt idx="25">
                  <c:v>360</c:v>
                </c:pt>
                <c:pt idx="26">
                  <c:v>480</c:v>
                </c:pt>
                <c:pt idx="27">
                  <c:v>600</c:v>
                </c:pt>
                <c:pt idx="28">
                  <c:v>720</c:v>
                </c:pt>
                <c:pt idx="29">
                  <c:v>840</c:v>
                </c:pt>
                <c:pt idx="30">
                  <c:v>960</c:v>
                </c:pt>
                <c:pt idx="31">
                  <c:v>1080</c:v>
                </c:pt>
                <c:pt idx="32">
                  <c:v>1200</c:v>
                </c:pt>
                <c:pt idx="33">
                  <c:v>1320</c:v>
                </c:pt>
                <c:pt idx="34">
                  <c:v>1440</c:v>
                </c:pt>
                <c:pt idx="35">
                  <c:v>1560</c:v>
                </c:pt>
                <c:pt idx="36">
                  <c:v>1680</c:v>
                </c:pt>
                <c:pt idx="37">
                  <c:v>1800</c:v>
                </c:pt>
                <c:pt idx="38">
                  <c:v>1920</c:v>
                </c:pt>
                <c:pt idx="39">
                  <c:v>2040</c:v>
                </c:pt>
                <c:pt idx="40">
                  <c:v>2160</c:v>
                </c:pt>
                <c:pt idx="41">
                  <c:v>2280</c:v>
                </c:pt>
                <c:pt idx="42">
                  <c:v>2400</c:v>
                </c:pt>
                <c:pt idx="43">
                  <c:v>2520</c:v>
                </c:pt>
                <c:pt idx="44">
                  <c:v>2640</c:v>
                </c:pt>
                <c:pt idx="45">
                  <c:v>2760</c:v>
                </c:pt>
                <c:pt idx="46">
                  <c:v>2880</c:v>
                </c:pt>
                <c:pt idx="47">
                  <c:v>3000</c:v>
                </c:pt>
                <c:pt idx="48">
                  <c:v>3120</c:v>
                </c:pt>
              </c:numCache>
            </c:numRef>
          </c:xVal>
          <c:yVal>
            <c:numRef>
              <c:f>Sheet1!$T$8:$T$56</c:f>
              <c:numCache>
                <c:formatCode>0</c:formatCode>
                <c:ptCount val="49"/>
                <c:pt idx="0">
                  <c:v>1270.9251755588496</c:v>
                </c:pt>
                <c:pt idx="1">
                  <c:v>1426.0015010139925</c:v>
                </c:pt>
                <c:pt idx="2">
                  <c:v>160</c:v>
                </c:pt>
                <c:pt idx="3">
                  <c:v>179.52295268831412</c:v>
                </c:pt>
                <c:pt idx="4">
                  <c:v>201.42806588706668</c:v>
                </c:pt>
                <c:pt idx="5">
                  <c:v>226.00600713964067</c:v>
                </c:pt>
                <c:pt idx="6">
                  <c:v>253.5829107937781</c:v>
                </c:pt>
                <c:pt idx="7">
                  <c:v>284.5247056062276</c:v>
                </c:pt>
                <c:pt idx="8">
                  <c:v>319.2419703950207</c:v>
                </c:pt>
                <c:pt idx="9">
                  <c:v>358.19538217093429</c:v>
                </c:pt>
                <c:pt idx="10">
                  <c:v>401.90182904153284</c:v>
                </c:pt>
                <c:pt idx="11">
                  <c:v>450.94126900231248</c:v>
                </c:pt>
                <c:pt idx="12">
                  <c:v>505.96442562694068</c:v>
                </c:pt>
                <c:pt idx="13">
                  <c:v>567.70142277372065</c:v>
                </c:pt>
                <c:pt idx="14">
                  <c:v>636.97147288559552</c:v>
                </c:pt>
                <c:pt idx="15">
                  <c:v>714.69374744154106</c:v>
                </c:pt>
                <c:pt idx="16">
                  <c:v>801.89957380363558</c:v>
                </c:pt>
                <c:pt idx="17">
                  <c:v>899.74612030455853</c:v>
                </c:pt>
                <c:pt idx="18">
                  <c:v>1009.5317511683093</c:v>
                </c:pt>
                <c:pt idx="19">
                  <c:v>1132.7132550146207</c:v>
                </c:pt>
                <c:pt idx="20">
                  <c:v>1270.9251755588505</c:v>
                </c:pt>
                <c:pt idx="21">
                  <c:v>1426.0015010139928</c:v>
                </c:pt>
                <c:pt idx="22">
                  <c:v>160</c:v>
                </c:pt>
                <c:pt idx="23">
                  <c:v>179.52295268831418</c:v>
                </c:pt>
                <c:pt idx="24">
                  <c:v>201.42806588706677</c:v>
                </c:pt>
                <c:pt idx="25">
                  <c:v>226.0060071396407</c:v>
                </c:pt>
                <c:pt idx="26">
                  <c:v>253.58291079377818</c:v>
                </c:pt>
                <c:pt idx="27">
                  <c:v>284.52470560622766</c:v>
                </c:pt>
                <c:pt idx="28">
                  <c:v>319.24197039502076</c:v>
                </c:pt>
                <c:pt idx="29">
                  <c:v>358.19538217093429</c:v>
                </c:pt>
                <c:pt idx="30">
                  <c:v>401.90182904153289</c:v>
                </c:pt>
                <c:pt idx="31">
                  <c:v>450.94126900231265</c:v>
                </c:pt>
                <c:pt idx="32">
                  <c:v>505.96442562694074</c:v>
                </c:pt>
                <c:pt idx="33">
                  <c:v>567.70142277372088</c:v>
                </c:pt>
                <c:pt idx="34">
                  <c:v>636.97147288559563</c:v>
                </c:pt>
                <c:pt idx="35">
                  <c:v>714.69374744154106</c:v>
                </c:pt>
                <c:pt idx="36">
                  <c:v>801.89957380363569</c:v>
                </c:pt>
                <c:pt idx="37">
                  <c:v>899.74612030455876</c:v>
                </c:pt>
                <c:pt idx="38">
                  <c:v>1009.5317511683095</c:v>
                </c:pt>
                <c:pt idx="39">
                  <c:v>1132.7132550146207</c:v>
                </c:pt>
                <c:pt idx="40">
                  <c:v>1270.9251755588507</c:v>
                </c:pt>
                <c:pt idx="41">
                  <c:v>1426.0015010139932</c:v>
                </c:pt>
                <c:pt idx="42">
                  <c:v>160</c:v>
                </c:pt>
                <c:pt idx="43">
                  <c:v>179.52295268831418</c:v>
                </c:pt>
                <c:pt idx="44">
                  <c:v>201.42806588706688</c:v>
                </c:pt>
                <c:pt idx="45">
                  <c:v>226.0060071396407</c:v>
                </c:pt>
                <c:pt idx="46">
                  <c:v>253.58291079377818</c:v>
                </c:pt>
                <c:pt idx="47">
                  <c:v>284.52470560622777</c:v>
                </c:pt>
                <c:pt idx="48">
                  <c:v>319.24197039502087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C01-480E-AC7E-45F93302D7D7}"/>
            </c:ext>
          </c:extLst>
        </c:ser>
        <c:ser>
          <c:idx val="5"/>
          <c:order val="11"/>
          <c:tx>
            <c:strRef>
              <c:f>Sheet1!$U$7</c:f>
              <c:strCache>
                <c:ptCount val="1"/>
                <c:pt idx="0">
                  <c:v>majorX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Sheet1!$D$8:$D$56</c:f>
              <c:numCache>
                <c:formatCode>General</c:formatCode>
                <c:ptCount val="49"/>
                <c:pt idx="0">
                  <c:v>-2640</c:v>
                </c:pt>
                <c:pt idx="1">
                  <c:v>-2520</c:v>
                </c:pt>
                <c:pt idx="2">
                  <c:v>-2400</c:v>
                </c:pt>
                <c:pt idx="3">
                  <c:v>-2280</c:v>
                </c:pt>
                <c:pt idx="4">
                  <c:v>-2160</c:v>
                </c:pt>
                <c:pt idx="5">
                  <c:v>-2040</c:v>
                </c:pt>
                <c:pt idx="6">
                  <c:v>-1920</c:v>
                </c:pt>
                <c:pt idx="7">
                  <c:v>-1800</c:v>
                </c:pt>
                <c:pt idx="8">
                  <c:v>-1680</c:v>
                </c:pt>
                <c:pt idx="9">
                  <c:v>-1560</c:v>
                </c:pt>
                <c:pt idx="10">
                  <c:v>-1440</c:v>
                </c:pt>
                <c:pt idx="11">
                  <c:v>-1320</c:v>
                </c:pt>
                <c:pt idx="12">
                  <c:v>-1200</c:v>
                </c:pt>
                <c:pt idx="13">
                  <c:v>-1080</c:v>
                </c:pt>
                <c:pt idx="14">
                  <c:v>-960</c:v>
                </c:pt>
                <c:pt idx="15">
                  <c:v>-840</c:v>
                </c:pt>
                <c:pt idx="16">
                  <c:v>-720</c:v>
                </c:pt>
                <c:pt idx="17">
                  <c:v>-600</c:v>
                </c:pt>
                <c:pt idx="18">
                  <c:v>-480</c:v>
                </c:pt>
                <c:pt idx="19">
                  <c:v>-360</c:v>
                </c:pt>
                <c:pt idx="20">
                  <c:v>-240</c:v>
                </c:pt>
                <c:pt idx="21">
                  <c:v>-120</c:v>
                </c:pt>
                <c:pt idx="22">
                  <c:v>0</c:v>
                </c:pt>
                <c:pt idx="23">
                  <c:v>120</c:v>
                </c:pt>
                <c:pt idx="24">
                  <c:v>240</c:v>
                </c:pt>
                <c:pt idx="25">
                  <c:v>360</c:v>
                </c:pt>
                <c:pt idx="26">
                  <c:v>480</c:v>
                </c:pt>
                <c:pt idx="27">
                  <c:v>600</c:v>
                </c:pt>
                <c:pt idx="28">
                  <c:v>720</c:v>
                </c:pt>
                <c:pt idx="29">
                  <c:v>840</c:v>
                </c:pt>
                <c:pt idx="30">
                  <c:v>960</c:v>
                </c:pt>
                <c:pt idx="31">
                  <c:v>1080</c:v>
                </c:pt>
                <c:pt idx="32">
                  <c:v>1200</c:v>
                </c:pt>
                <c:pt idx="33">
                  <c:v>1320</c:v>
                </c:pt>
                <c:pt idx="34">
                  <c:v>1440</c:v>
                </c:pt>
                <c:pt idx="35">
                  <c:v>1560</c:v>
                </c:pt>
                <c:pt idx="36">
                  <c:v>1680</c:v>
                </c:pt>
                <c:pt idx="37">
                  <c:v>1800</c:v>
                </c:pt>
                <c:pt idx="38">
                  <c:v>1920</c:v>
                </c:pt>
                <c:pt idx="39">
                  <c:v>2040</c:v>
                </c:pt>
                <c:pt idx="40">
                  <c:v>2160</c:v>
                </c:pt>
                <c:pt idx="41">
                  <c:v>2280</c:v>
                </c:pt>
                <c:pt idx="42">
                  <c:v>2400</c:v>
                </c:pt>
                <c:pt idx="43">
                  <c:v>2520</c:v>
                </c:pt>
                <c:pt idx="44">
                  <c:v>2640</c:v>
                </c:pt>
                <c:pt idx="45">
                  <c:v>2760</c:v>
                </c:pt>
                <c:pt idx="46">
                  <c:v>2880</c:v>
                </c:pt>
                <c:pt idx="47">
                  <c:v>3000</c:v>
                </c:pt>
                <c:pt idx="48">
                  <c:v>3120</c:v>
                </c:pt>
              </c:numCache>
            </c:numRef>
          </c:xVal>
          <c:yVal>
            <c:numRef>
              <c:f>Sheet1!$W$8:$W$56</c:f>
              <c:numCache>
                <c:formatCode>0</c:formatCode>
                <c:ptCount val="49"/>
                <c:pt idx="0">
                  <c:v>1940.1172051333097</c:v>
                </c:pt>
                <c:pt idx="1">
                  <c:v>2228.6094420380782</c:v>
                </c:pt>
                <c:pt idx="2">
                  <c:v>160</c:v>
                </c:pt>
                <c:pt idx="3">
                  <c:v>183.79173679952561</c:v>
                </c:pt>
                <c:pt idx="4">
                  <c:v>211.1212657236631</c:v>
                </c:pt>
                <c:pt idx="5">
                  <c:v>242.51465064166376</c:v>
                </c:pt>
                <c:pt idx="6">
                  <c:v>278.57618025475978</c:v>
                </c:pt>
                <c:pt idx="7">
                  <c:v>320.00000000000006</c:v>
                </c:pt>
                <c:pt idx="8">
                  <c:v>367.58347359905122</c:v>
                </c:pt>
                <c:pt idx="9">
                  <c:v>422.2425314473262</c:v>
                </c:pt>
                <c:pt idx="10">
                  <c:v>485.02930128332741</c:v>
                </c:pt>
                <c:pt idx="11">
                  <c:v>557.15236050951955</c:v>
                </c:pt>
                <c:pt idx="12">
                  <c:v>640</c:v>
                </c:pt>
                <c:pt idx="13">
                  <c:v>735.16694719810243</c:v>
                </c:pt>
                <c:pt idx="14">
                  <c:v>844.4850628946524</c:v>
                </c:pt>
                <c:pt idx="15">
                  <c:v>970.05860256665483</c:v>
                </c:pt>
                <c:pt idx="16">
                  <c:v>1114.3047210190389</c:v>
                </c:pt>
                <c:pt idx="17">
                  <c:v>1280</c:v>
                </c:pt>
                <c:pt idx="18">
                  <c:v>1470.3338943962049</c:v>
                </c:pt>
                <c:pt idx="19">
                  <c:v>1688.9701257893048</c:v>
                </c:pt>
                <c:pt idx="20">
                  <c:v>1940.1172051333097</c:v>
                </c:pt>
                <c:pt idx="21">
                  <c:v>2228.6094420380778</c:v>
                </c:pt>
                <c:pt idx="22">
                  <c:v>160</c:v>
                </c:pt>
                <c:pt idx="23">
                  <c:v>183.79173679952561</c:v>
                </c:pt>
                <c:pt idx="24">
                  <c:v>211.12126572366307</c:v>
                </c:pt>
                <c:pt idx="25">
                  <c:v>242.51465064166368</c:v>
                </c:pt>
                <c:pt idx="26">
                  <c:v>278.57618025475972</c:v>
                </c:pt>
                <c:pt idx="27">
                  <c:v>320</c:v>
                </c:pt>
                <c:pt idx="28">
                  <c:v>367.58347359905122</c:v>
                </c:pt>
                <c:pt idx="29">
                  <c:v>422.24253144732614</c:v>
                </c:pt>
                <c:pt idx="30">
                  <c:v>485.02930128332736</c:v>
                </c:pt>
                <c:pt idx="31">
                  <c:v>557.15236050951944</c:v>
                </c:pt>
                <c:pt idx="32">
                  <c:v>640</c:v>
                </c:pt>
                <c:pt idx="33">
                  <c:v>735.16694719810232</c:v>
                </c:pt>
                <c:pt idx="34">
                  <c:v>844.48506289465229</c:v>
                </c:pt>
                <c:pt idx="35">
                  <c:v>970.05860256665471</c:v>
                </c:pt>
                <c:pt idx="36">
                  <c:v>1114.3047210190387</c:v>
                </c:pt>
                <c:pt idx="37">
                  <c:v>1279.9999999999998</c:v>
                </c:pt>
                <c:pt idx="38">
                  <c:v>1470.3338943962046</c:v>
                </c:pt>
                <c:pt idx="39">
                  <c:v>1688.9701257893043</c:v>
                </c:pt>
                <c:pt idx="40">
                  <c:v>1940.1172051333094</c:v>
                </c:pt>
                <c:pt idx="41">
                  <c:v>2228.6094420380773</c:v>
                </c:pt>
                <c:pt idx="42">
                  <c:v>160</c:v>
                </c:pt>
                <c:pt idx="43">
                  <c:v>183.79173679952558</c:v>
                </c:pt>
                <c:pt idx="44">
                  <c:v>211.12126572366307</c:v>
                </c:pt>
                <c:pt idx="45">
                  <c:v>242.51465064166356</c:v>
                </c:pt>
                <c:pt idx="46">
                  <c:v>278.57618025475972</c:v>
                </c:pt>
                <c:pt idx="47">
                  <c:v>320</c:v>
                </c:pt>
                <c:pt idx="48">
                  <c:v>367.58347359905122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C01-480E-AC7E-45F93302D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842176"/>
        <c:axId val="526840736"/>
      </c:scatterChart>
      <c:scatterChart>
        <c:scatterStyle val="lineMarker"/>
        <c:varyColors val="0"/>
        <c:ser>
          <c:idx val="6"/>
          <c:order val="0"/>
          <c:tx>
            <c:strRef>
              <c:f>Sheet1!$G$7</c:f>
              <c:strCache>
                <c:ptCount val="1"/>
                <c:pt idx="0">
                  <c:v>zoom</c:v>
                </c:pt>
              </c:strCache>
            </c:strRef>
          </c:tx>
          <c:marker>
            <c:symbol val="none"/>
          </c:marker>
          <c:xVal>
            <c:numRef>
              <c:f>Sheet1!$D$8:$D$56</c:f>
              <c:numCache>
                <c:formatCode>General</c:formatCode>
                <c:ptCount val="49"/>
                <c:pt idx="0">
                  <c:v>-2640</c:v>
                </c:pt>
                <c:pt idx="1">
                  <c:v>-2520</c:v>
                </c:pt>
                <c:pt idx="2">
                  <c:v>-2400</c:v>
                </c:pt>
                <c:pt idx="3">
                  <c:v>-2280</c:v>
                </c:pt>
                <c:pt idx="4">
                  <c:v>-2160</c:v>
                </c:pt>
                <c:pt idx="5">
                  <c:v>-2040</c:v>
                </c:pt>
                <c:pt idx="6">
                  <c:v>-1920</c:v>
                </c:pt>
                <c:pt idx="7">
                  <c:v>-1800</c:v>
                </c:pt>
                <c:pt idx="8">
                  <c:v>-1680</c:v>
                </c:pt>
                <c:pt idx="9">
                  <c:v>-1560</c:v>
                </c:pt>
                <c:pt idx="10">
                  <c:v>-1440</c:v>
                </c:pt>
                <c:pt idx="11">
                  <c:v>-1320</c:v>
                </c:pt>
                <c:pt idx="12">
                  <c:v>-1200</c:v>
                </c:pt>
                <c:pt idx="13">
                  <c:v>-1080</c:v>
                </c:pt>
                <c:pt idx="14">
                  <c:v>-960</c:v>
                </c:pt>
                <c:pt idx="15">
                  <c:v>-840</c:v>
                </c:pt>
                <c:pt idx="16">
                  <c:v>-720</c:v>
                </c:pt>
                <c:pt idx="17">
                  <c:v>-600</c:v>
                </c:pt>
                <c:pt idx="18">
                  <c:v>-480</c:v>
                </c:pt>
                <c:pt idx="19">
                  <c:v>-360</c:v>
                </c:pt>
                <c:pt idx="20">
                  <c:v>-240</c:v>
                </c:pt>
                <c:pt idx="21">
                  <c:v>-120</c:v>
                </c:pt>
                <c:pt idx="22">
                  <c:v>0</c:v>
                </c:pt>
                <c:pt idx="23">
                  <c:v>120</c:v>
                </c:pt>
                <c:pt idx="24">
                  <c:v>240</c:v>
                </c:pt>
                <c:pt idx="25">
                  <c:v>360</c:v>
                </c:pt>
                <c:pt idx="26">
                  <c:v>480</c:v>
                </c:pt>
                <c:pt idx="27">
                  <c:v>600</c:v>
                </c:pt>
                <c:pt idx="28">
                  <c:v>720</c:v>
                </c:pt>
                <c:pt idx="29">
                  <c:v>840</c:v>
                </c:pt>
                <c:pt idx="30">
                  <c:v>960</c:v>
                </c:pt>
                <c:pt idx="31">
                  <c:v>1080</c:v>
                </c:pt>
                <c:pt idx="32">
                  <c:v>1200</c:v>
                </c:pt>
                <c:pt idx="33">
                  <c:v>1320</c:v>
                </c:pt>
                <c:pt idx="34">
                  <c:v>1440</c:v>
                </c:pt>
                <c:pt idx="35">
                  <c:v>1560</c:v>
                </c:pt>
                <c:pt idx="36">
                  <c:v>1680</c:v>
                </c:pt>
                <c:pt idx="37">
                  <c:v>1800</c:v>
                </c:pt>
                <c:pt idx="38">
                  <c:v>1920</c:v>
                </c:pt>
                <c:pt idx="39">
                  <c:v>2040</c:v>
                </c:pt>
                <c:pt idx="40">
                  <c:v>2160</c:v>
                </c:pt>
                <c:pt idx="41">
                  <c:v>2280</c:v>
                </c:pt>
                <c:pt idx="42">
                  <c:v>2400</c:v>
                </c:pt>
                <c:pt idx="43">
                  <c:v>2520</c:v>
                </c:pt>
                <c:pt idx="44">
                  <c:v>2640</c:v>
                </c:pt>
                <c:pt idx="45">
                  <c:v>2760</c:v>
                </c:pt>
                <c:pt idx="46">
                  <c:v>2880</c:v>
                </c:pt>
                <c:pt idx="47">
                  <c:v>3000</c:v>
                </c:pt>
                <c:pt idx="48">
                  <c:v>3120</c:v>
                </c:pt>
              </c:numCache>
            </c:numRef>
          </c:xVal>
          <c:yVal>
            <c:numRef>
              <c:f>Sheet1!$G$8:$G$56</c:f>
              <c:numCache>
                <c:formatCode>General</c:formatCode>
                <c:ptCount val="49"/>
                <c:pt idx="0">
                  <c:v>0.46651649576840371</c:v>
                </c:pt>
                <c:pt idx="1">
                  <c:v>0.48296816446242274</c:v>
                </c:pt>
                <c:pt idx="2">
                  <c:v>0.5</c:v>
                </c:pt>
                <c:pt idx="3">
                  <c:v>0.51763246192068879</c:v>
                </c:pt>
                <c:pt idx="4">
                  <c:v>0.53588673126814657</c:v>
                </c:pt>
                <c:pt idx="5">
                  <c:v>0.55478473603392253</c:v>
                </c:pt>
                <c:pt idx="6">
                  <c:v>0.57434917749851755</c:v>
                </c:pt>
                <c:pt idx="7">
                  <c:v>0.59460355750136051</c:v>
                </c:pt>
                <c:pt idx="8">
                  <c:v>0.61557220667245816</c:v>
                </c:pt>
                <c:pt idx="9">
                  <c:v>0.637280313659631</c:v>
                </c:pt>
                <c:pt idx="10">
                  <c:v>0.65975395538644721</c:v>
                </c:pt>
                <c:pt idx="11">
                  <c:v>0.68302012837719772</c:v>
                </c:pt>
                <c:pt idx="12">
                  <c:v>0.70710678118654746</c:v>
                </c:pt>
                <c:pt idx="13">
                  <c:v>0.73204284797281272</c:v>
                </c:pt>
                <c:pt idx="14">
                  <c:v>0.75785828325519911</c:v>
                </c:pt>
                <c:pt idx="15">
                  <c:v>0.78458409789675077</c:v>
                </c:pt>
                <c:pt idx="16">
                  <c:v>0.81225239635623547</c:v>
                </c:pt>
                <c:pt idx="17">
                  <c:v>0.84089641525371461</c:v>
                </c:pt>
                <c:pt idx="18">
                  <c:v>0.87055056329612412</c:v>
                </c:pt>
                <c:pt idx="19">
                  <c:v>0.90125046261083019</c:v>
                </c:pt>
                <c:pt idx="20">
                  <c:v>0.93303299153680741</c:v>
                </c:pt>
                <c:pt idx="21">
                  <c:v>0.96593632892484549</c:v>
                </c:pt>
                <c:pt idx="22">
                  <c:v>1</c:v>
                </c:pt>
                <c:pt idx="23">
                  <c:v>1.0352649238413776</c:v>
                </c:pt>
                <c:pt idx="24">
                  <c:v>1.0717734625362931</c:v>
                </c:pt>
                <c:pt idx="25">
                  <c:v>1.1095694720678451</c:v>
                </c:pt>
                <c:pt idx="26">
                  <c:v>1.1486983549970351</c:v>
                </c:pt>
                <c:pt idx="27">
                  <c:v>1.189207115002721</c:v>
                </c:pt>
                <c:pt idx="28">
                  <c:v>1.2311444133449163</c:v>
                </c:pt>
                <c:pt idx="29">
                  <c:v>1.274560627319262</c:v>
                </c:pt>
                <c:pt idx="30">
                  <c:v>1.3195079107728942</c:v>
                </c:pt>
                <c:pt idx="31">
                  <c:v>1.3660402567543954</c:v>
                </c:pt>
                <c:pt idx="32">
                  <c:v>1.4142135623730951</c:v>
                </c:pt>
                <c:pt idx="33">
                  <c:v>1.4640856959456254</c:v>
                </c:pt>
                <c:pt idx="34">
                  <c:v>1.515716566510398</c:v>
                </c:pt>
                <c:pt idx="35">
                  <c:v>1.5691681957935015</c:v>
                </c:pt>
                <c:pt idx="36">
                  <c:v>1.6245047927124709</c:v>
                </c:pt>
                <c:pt idx="37">
                  <c:v>1.681792830507429</c:v>
                </c:pt>
                <c:pt idx="38">
                  <c:v>1.7411011265922482</c:v>
                </c:pt>
                <c:pt idx="39">
                  <c:v>1.8025009252216604</c:v>
                </c:pt>
                <c:pt idx="40">
                  <c:v>1.8660659830736148</c:v>
                </c:pt>
                <c:pt idx="41">
                  <c:v>1.931872657849691</c:v>
                </c:pt>
                <c:pt idx="42">
                  <c:v>2</c:v>
                </c:pt>
                <c:pt idx="43">
                  <c:v>2.0705298476827552</c:v>
                </c:pt>
                <c:pt idx="44">
                  <c:v>2.1435469250725863</c:v>
                </c:pt>
                <c:pt idx="45">
                  <c:v>2.2191389441356897</c:v>
                </c:pt>
                <c:pt idx="46">
                  <c:v>2.2973967099940702</c:v>
                </c:pt>
                <c:pt idx="47">
                  <c:v>2.3784142300054421</c:v>
                </c:pt>
                <c:pt idx="48">
                  <c:v>2.4622888266898326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C01-480E-AC7E-45F93302D7D7}"/>
            </c:ext>
          </c:extLst>
        </c:ser>
        <c:ser>
          <c:idx val="7"/>
          <c:order val="1"/>
          <c:tx>
            <c:strRef>
              <c:f>Sheet1!$J$7</c:f>
              <c:strCache>
                <c:ptCount val="1"/>
                <c:pt idx="0">
                  <c:v>zoom</c:v>
                </c:pt>
              </c:strCache>
            </c:strRef>
          </c:tx>
          <c:marker>
            <c:symbol val="none"/>
          </c:marker>
          <c:xVal>
            <c:numRef>
              <c:f>Sheet1!$D$8:$D$56</c:f>
              <c:numCache>
                <c:formatCode>General</c:formatCode>
                <c:ptCount val="49"/>
                <c:pt idx="0">
                  <c:v>-2640</c:v>
                </c:pt>
                <c:pt idx="1">
                  <c:v>-2520</c:v>
                </c:pt>
                <c:pt idx="2">
                  <c:v>-2400</c:v>
                </c:pt>
                <c:pt idx="3">
                  <c:v>-2280</c:v>
                </c:pt>
                <c:pt idx="4">
                  <c:v>-2160</c:v>
                </c:pt>
                <c:pt idx="5">
                  <c:v>-2040</c:v>
                </c:pt>
                <c:pt idx="6">
                  <c:v>-1920</c:v>
                </c:pt>
                <c:pt idx="7">
                  <c:v>-1800</c:v>
                </c:pt>
                <c:pt idx="8">
                  <c:v>-1680</c:v>
                </c:pt>
                <c:pt idx="9">
                  <c:v>-1560</c:v>
                </c:pt>
                <c:pt idx="10">
                  <c:v>-1440</c:v>
                </c:pt>
                <c:pt idx="11">
                  <c:v>-1320</c:v>
                </c:pt>
                <c:pt idx="12">
                  <c:v>-1200</c:v>
                </c:pt>
                <c:pt idx="13">
                  <c:v>-1080</c:v>
                </c:pt>
                <c:pt idx="14">
                  <c:v>-960</c:v>
                </c:pt>
                <c:pt idx="15">
                  <c:v>-840</c:v>
                </c:pt>
                <c:pt idx="16">
                  <c:v>-720</c:v>
                </c:pt>
                <c:pt idx="17">
                  <c:v>-600</c:v>
                </c:pt>
                <c:pt idx="18">
                  <c:v>-480</c:v>
                </c:pt>
                <c:pt idx="19">
                  <c:v>-360</c:v>
                </c:pt>
                <c:pt idx="20">
                  <c:v>-240</c:v>
                </c:pt>
                <c:pt idx="21">
                  <c:v>-120</c:v>
                </c:pt>
                <c:pt idx="22">
                  <c:v>0</c:v>
                </c:pt>
                <c:pt idx="23">
                  <c:v>120</c:v>
                </c:pt>
                <c:pt idx="24">
                  <c:v>240</c:v>
                </c:pt>
                <c:pt idx="25">
                  <c:v>360</c:v>
                </c:pt>
                <c:pt idx="26">
                  <c:v>480</c:v>
                </c:pt>
                <c:pt idx="27">
                  <c:v>600</c:v>
                </c:pt>
                <c:pt idx="28">
                  <c:v>720</c:v>
                </c:pt>
                <c:pt idx="29">
                  <c:v>840</c:v>
                </c:pt>
                <c:pt idx="30">
                  <c:v>960</c:v>
                </c:pt>
                <c:pt idx="31">
                  <c:v>1080</c:v>
                </c:pt>
                <c:pt idx="32">
                  <c:v>1200</c:v>
                </c:pt>
                <c:pt idx="33">
                  <c:v>1320</c:v>
                </c:pt>
                <c:pt idx="34">
                  <c:v>1440</c:v>
                </c:pt>
                <c:pt idx="35">
                  <c:v>1560</c:v>
                </c:pt>
                <c:pt idx="36">
                  <c:v>1680</c:v>
                </c:pt>
                <c:pt idx="37">
                  <c:v>1800</c:v>
                </c:pt>
                <c:pt idx="38">
                  <c:v>1920</c:v>
                </c:pt>
                <c:pt idx="39">
                  <c:v>2040</c:v>
                </c:pt>
                <c:pt idx="40">
                  <c:v>2160</c:v>
                </c:pt>
                <c:pt idx="41">
                  <c:v>2280</c:v>
                </c:pt>
                <c:pt idx="42">
                  <c:v>2400</c:v>
                </c:pt>
                <c:pt idx="43">
                  <c:v>2520</c:v>
                </c:pt>
                <c:pt idx="44">
                  <c:v>2640</c:v>
                </c:pt>
                <c:pt idx="45">
                  <c:v>2760</c:v>
                </c:pt>
                <c:pt idx="46">
                  <c:v>2880</c:v>
                </c:pt>
                <c:pt idx="47">
                  <c:v>3000</c:v>
                </c:pt>
                <c:pt idx="48">
                  <c:v>3120</c:v>
                </c:pt>
              </c:numCache>
            </c:numRef>
          </c:xVal>
          <c:yVal>
            <c:numRef>
              <c:f>Sheet1!$J$8:$J$56</c:f>
              <c:numCache>
                <c:formatCode>General</c:formatCode>
                <c:ptCount val="49"/>
                <c:pt idx="0">
                  <c:v>0.21763764082403106</c:v>
                </c:pt>
                <c:pt idx="1">
                  <c:v>0.23325824788420185</c:v>
                </c:pt>
                <c:pt idx="2">
                  <c:v>0.25</c:v>
                </c:pt>
                <c:pt idx="3">
                  <c:v>0.26794336563407328</c:v>
                </c:pt>
                <c:pt idx="4">
                  <c:v>0.28717458874925877</c:v>
                </c:pt>
                <c:pt idx="5">
                  <c:v>0.30778610333622908</c:v>
                </c:pt>
                <c:pt idx="6">
                  <c:v>0.32987697769322361</c:v>
                </c:pt>
                <c:pt idx="7">
                  <c:v>0.35355339059327379</c:v>
                </c:pt>
                <c:pt idx="8">
                  <c:v>0.37892914162759955</c:v>
                </c:pt>
                <c:pt idx="9">
                  <c:v>0.40612619817811774</c:v>
                </c:pt>
                <c:pt idx="10">
                  <c:v>0.43527528164806206</c:v>
                </c:pt>
                <c:pt idx="11">
                  <c:v>0.46651649576840371</c:v>
                </c:pt>
                <c:pt idx="12">
                  <c:v>0.5</c:v>
                </c:pt>
                <c:pt idx="13">
                  <c:v>0.53588673126814657</c:v>
                </c:pt>
                <c:pt idx="14">
                  <c:v>0.57434917749851755</c:v>
                </c:pt>
                <c:pt idx="15">
                  <c:v>0.61557220667245816</c:v>
                </c:pt>
                <c:pt idx="16">
                  <c:v>0.65975395538644721</c:v>
                </c:pt>
                <c:pt idx="17">
                  <c:v>0.70710678118654757</c:v>
                </c:pt>
                <c:pt idx="18">
                  <c:v>0.75785828325519911</c:v>
                </c:pt>
                <c:pt idx="19">
                  <c:v>0.81225239635623547</c:v>
                </c:pt>
                <c:pt idx="20">
                  <c:v>0.87055056329612412</c:v>
                </c:pt>
                <c:pt idx="21">
                  <c:v>0.93303299153680741</c:v>
                </c:pt>
                <c:pt idx="22">
                  <c:v>1</c:v>
                </c:pt>
                <c:pt idx="23">
                  <c:v>1.0717734625362931</c:v>
                </c:pt>
                <c:pt idx="24">
                  <c:v>1.1486983549970351</c:v>
                </c:pt>
                <c:pt idx="25">
                  <c:v>1.2311444133449163</c:v>
                </c:pt>
                <c:pt idx="26">
                  <c:v>1.3195079107728942</c:v>
                </c:pt>
                <c:pt idx="27">
                  <c:v>1.4142135623730949</c:v>
                </c:pt>
                <c:pt idx="28">
                  <c:v>1.515716566510398</c:v>
                </c:pt>
                <c:pt idx="29">
                  <c:v>1.6245047927124709</c:v>
                </c:pt>
                <c:pt idx="30">
                  <c:v>1.7411011265922482</c:v>
                </c:pt>
                <c:pt idx="31">
                  <c:v>1.8660659830736148</c:v>
                </c:pt>
                <c:pt idx="32">
                  <c:v>2</c:v>
                </c:pt>
                <c:pt idx="33">
                  <c:v>2.1435469250725863</c:v>
                </c:pt>
                <c:pt idx="34">
                  <c:v>2.2973967099940702</c:v>
                </c:pt>
                <c:pt idx="35">
                  <c:v>2.4622888266898326</c:v>
                </c:pt>
                <c:pt idx="36">
                  <c:v>2.6390158215457884</c:v>
                </c:pt>
                <c:pt idx="37">
                  <c:v>2.8284271247461898</c:v>
                </c:pt>
                <c:pt idx="38">
                  <c:v>3.031433133020796</c:v>
                </c:pt>
                <c:pt idx="39">
                  <c:v>3.2490095854249419</c:v>
                </c:pt>
                <c:pt idx="40">
                  <c:v>3.4822022531844965</c:v>
                </c:pt>
                <c:pt idx="41">
                  <c:v>3.7321319661472296</c:v>
                </c:pt>
                <c:pt idx="42">
                  <c:v>4</c:v>
                </c:pt>
                <c:pt idx="43">
                  <c:v>4.2870938501451725</c:v>
                </c:pt>
                <c:pt idx="44">
                  <c:v>4.5947934199881395</c:v>
                </c:pt>
                <c:pt idx="45">
                  <c:v>4.9245776533796644</c:v>
                </c:pt>
                <c:pt idx="46">
                  <c:v>5.2780316430915768</c:v>
                </c:pt>
                <c:pt idx="47">
                  <c:v>5.6568542494923806</c:v>
                </c:pt>
                <c:pt idx="48">
                  <c:v>6.062866266041592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C01-480E-AC7E-45F93302D7D7}"/>
            </c:ext>
          </c:extLst>
        </c:ser>
        <c:ser>
          <c:idx val="8"/>
          <c:order val="2"/>
          <c:tx>
            <c:strRef>
              <c:f>Sheet1!$M$7</c:f>
              <c:strCache>
                <c:ptCount val="1"/>
                <c:pt idx="0">
                  <c:v>zoom</c:v>
                </c:pt>
              </c:strCache>
            </c:strRef>
          </c:tx>
          <c:marker>
            <c:symbol val="none"/>
          </c:marker>
          <c:xVal>
            <c:numRef>
              <c:f>Sheet1!$D$8:$D$56</c:f>
              <c:numCache>
                <c:formatCode>General</c:formatCode>
                <c:ptCount val="49"/>
                <c:pt idx="0">
                  <c:v>-2640</c:v>
                </c:pt>
                <c:pt idx="1">
                  <c:v>-2520</c:v>
                </c:pt>
                <c:pt idx="2">
                  <c:v>-2400</c:v>
                </c:pt>
                <c:pt idx="3">
                  <c:v>-2280</c:v>
                </c:pt>
                <c:pt idx="4">
                  <c:v>-2160</c:v>
                </c:pt>
                <c:pt idx="5">
                  <c:v>-2040</c:v>
                </c:pt>
                <c:pt idx="6">
                  <c:v>-1920</c:v>
                </c:pt>
                <c:pt idx="7">
                  <c:v>-1800</c:v>
                </c:pt>
                <c:pt idx="8">
                  <c:v>-1680</c:v>
                </c:pt>
                <c:pt idx="9">
                  <c:v>-1560</c:v>
                </c:pt>
                <c:pt idx="10">
                  <c:v>-1440</c:v>
                </c:pt>
                <c:pt idx="11">
                  <c:v>-1320</c:v>
                </c:pt>
                <c:pt idx="12">
                  <c:v>-1200</c:v>
                </c:pt>
                <c:pt idx="13">
                  <c:v>-1080</c:v>
                </c:pt>
                <c:pt idx="14">
                  <c:v>-960</c:v>
                </c:pt>
                <c:pt idx="15">
                  <c:v>-840</c:v>
                </c:pt>
                <c:pt idx="16">
                  <c:v>-720</c:v>
                </c:pt>
                <c:pt idx="17">
                  <c:v>-600</c:v>
                </c:pt>
                <c:pt idx="18">
                  <c:v>-480</c:v>
                </c:pt>
                <c:pt idx="19">
                  <c:v>-360</c:v>
                </c:pt>
                <c:pt idx="20">
                  <c:v>-240</c:v>
                </c:pt>
                <c:pt idx="21">
                  <c:v>-120</c:v>
                </c:pt>
                <c:pt idx="22">
                  <c:v>0</c:v>
                </c:pt>
                <c:pt idx="23">
                  <c:v>120</c:v>
                </c:pt>
                <c:pt idx="24">
                  <c:v>240</c:v>
                </c:pt>
                <c:pt idx="25">
                  <c:v>360</c:v>
                </c:pt>
                <c:pt idx="26">
                  <c:v>480</c:v>
                </c:pt>
                <c:pt idx="27">
                  <c:v>600</c:v>
                </c:pt>
                <c:pt idx="28">
                  <c:v>720</c:v>
                </c:pt>
                <c:pt idx="29">
                  <c:v>840</c:v>
                </c:pt>
                <c:pt idx="30">
                  <c:v>960</c:v>
                </c:pt>
                <c:pt idx="31">
                  <c:v>1080</c:v>
                </c:pt>
                <c:pt idx="32">
                  <c:v>1200</c:v>
                </c:pt>
                <c:pt idx="33">
                  <c:v>1320</c:v>
                </c:pt>
                <c:pt idx="34">
                  <c:v>1440</c:v>
                </c:pt>
                <c:pt idx="35">
                  <c:v>1560</c:v>
                </c:pt>
                <c:pt idx="36">
                  <c:v>1680</c:v>
                </c:pt>
                <c:pt idx="37">
                  <c:v>1800</c:v>
                </c:pt>
                <c:pt idx="38">
                  <c:v>1920</c:v>
                </c:pt>
                <c:pt idx="39">
                  <c:v>2040</c:v>
                </c:pt>
                <c:pt idx="40">
                  <c:v>2160</c:v>
                </c:pt>
                <c:pt idx="41">
                  <c:v>2280</c:v>
                </c:pt>
                <c:pt idx="42">
                  <c:v>2400</c:v>
                </c:pt>
                <c:pt idx="43">
                  <c:v>2520</c:v>
                </c:pt>
                <c:pt idx="44">
                  <c:v>2640</c:v>
                </c:pt>
                <c:pt idx="45">
                  <c:v>2760</c:v>
                </c:pt>
                <c:pt idx="46">
                  <c:v>2880</c:v>
                </c:pt>
                <c:pt idx="47">
                  <c:v>3000</c:v>
                </c:pt>
                <c:pt idx="48">
                  <c:v>3120</c:v>
                </c:pt>
              </c:numCache>
            </c:numRef>
          </c:xVal>
          <c:yVal>
            <c:numRef>
              <c:f>Sheet1!$M$8:$M$56</c:f>
              <c:numCache>
                <c:formatCode>General</c:formatCode>
                <c:ptCount val="49"/>
                <c:pt idx="0">
                  <c:v>0.17026798450415689</c:v>
                </c:pt>
                <c:pt idx="1">
                  <c:v>0.18453616691811767</c:v>
                </c:pt>
                <c:pt idx="2">
                  <c:v>0.2</c:v>
                </c:pt>
                <c:pt idx="3">
                  <c:v>0.21675967734687365</c:v>
                </c:pt>
                <c:pt idx="4">
                  <c:v>0.23492378861760377</c:v>
                </c:pt>
                <c:pt idx="5">
                  <c:v>0.25461002310928477</c:v>
                </c:pt>
                <c:pt idx="6">
                  <c:v>0.27594593229224296</c:v>
                </c:pt>
                <c:pt idx="7">
                  <c:v>0.29906975624424414</c:v>
                </c:pt>
                <c:pt idx="8">
                  <c:v>0.32413131933855255</c:v>
                </c:pt>
                <c:pt idx="9">
                  <c:v>0.35129300098920552</c:v>
                </c:pt>
                <c:pt idx="10">
                  <c:v>0.38073078774317576</c:v>
                </c:pt>
                <c:pt idx="11">
                  <c:v>0.41263541353615896</c:v>
                </c:pt>
                <c:pt idx="12">
                  <c:v>0.44721359549995793</c:v>
                </c:pt>
                <c:pt idx="13">
                  <c:v>0.48468937332853068</c:v>
                </c:pt>
                <c:pt idx="14">
                  <c:v>0.52530556088075342</c:v>
                </c:pt>
                <c:pt idx="15">
                  <c:v>0.56932531942515308</c:v>
                </c:pt>
                <c:pt idx="16">
                  <c:v>0.6170338627200096</c:v>
                </c:pt>
                <c:pt idx="17">
                  <c:v>0.66874030497642201</c:v>
                </c:pt>
                <c:pt idx="18">
                  <c:v>0.72477966367769553</c:v>
                </c:pt>
                <c:pt idx="19">
                  <c:v>0.78551503023176439</c:v>
                </c:pt>
                <c:pt idx="20">
                  <c:v>0.85133992252078461</c:v>
                </c:pt>
                <c:pt idx="21">
                  <c:v>0.92268083459058836</c:v>
                </c:pt>
                <c:pt idx="22">
                  <c:v>1</c:v>
                </c:pt>
                <c:pt idx="23">
                  <c:v>1.0837983867343681</c:v>
                </c:pt>
                <c:pt idx="24">
                  <c:v>1.174618943088019</c:v>
                </c:pt>
                <c:pt idx="25">
                  <c:v>1.2730501155464236</c:v>
                </c:pt>
                <c:pt idx="26">
                  <c:v>1.3797296614612149</c:v>
                </c:pt>
                <c:pt idx="27">
                  <c:v>1.4953487812212205</c:v>
                </c:pt>
                <c:pt idx="28">
                  <c:v>1.6206565966927624</c:v>
                </c:pt>
                <c:pt idx="29">
                  <c:v>1.7564650049460273</c:v>
                </c:pt>
                <c:pt idx="30">
                  <c:v>1.9036539387158786</c:v>
                </c:pt>
                <c:pt idx="31">
                  <c:v>2.0631770676807948</c:v>
                </c:pt>
                <c:pt idx="32">
                  <c:v>2.2360679774997898</c:v>
                </c:pt>
                <c:pt idx="33">
                  <c:v>2.4234468666426534</c:v>
                </c:pt>
                <c:pt idx="34">
                  <c:v>2.626527804403767</c:v>
                </c:pt>
                <c:pt idx="35">
                  <c:v>2.8466265971257649</c:v>
                </c:pt>
                <c:pt idx="36">
                  <c:v>3.0851693136000478</c:v>
                </c:pt>
                <c:pt idx="37">
                  <c:v>3.3437015248821096</c:v>
                </c:pt>
                <c:pt idx="38">
                  <c:v>3.6238983183884779</c:v>
                </c:pt>
                <c:pt idx="39">
                  <c:v>3.9275751511588211</c:v>
                </c:pt>
                <c:pt idx="40">
                  <c:v>4.2566996126039234</c:v>
                </c:pt>
                <c:pt idx="41">
                  <c:v>4.6134041729529409</c:v>
                </c:pt>
                <c:pt idx="42">
                  <c:v>5</c:v>
                </c:pt>
                <c:pt idx="43">
                  <c:v>5.4189919336718404</c:v>
                </c:pt>
                <c:pt idx="44">
                  <c:v>5.8730947154400956</c:v>
                </c:pt>
                <c:pt idx="45">
                  <c:v>6.3652505777321169</c:v>
                </c:pt>
                <c:pt idx="46">
                  <c:v>6.8986483073060727</c:v>
                </c:pt>
                <c:pt idx="47">
                  <c:v>7.4767439061061021</c:v>
                </c:pt>
                <c:pt idx="48">
                  <c:v>8.1032829834638118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C01-480E-AC7E-45F93302D7D7}"/>
            </c:ext>
          </c:extLst>
        </c:ser>
        <c:ser>
          <c:idx val="9"/>
          <c:order val="3"/>
          <c:tx>
            <c:strRef>
              <c:f>Sheet1!$P$7</c:f>
              <c:strCache>
                <c:ptCount val="1"/>
                <c:pt idx="0">
                  <c:v>zoom</c:v>
                </c:pt>
              </c:strCache>
            </c:strRef>
          </c:tx>
          <c:marker>
            <c:symbol val="none"/>
          </c:marker>
          <c:xVal>
            <c:numRef>
              <c:f>Sheet1!$D$8:$D$56</c:f>
              <c:numCache>
                <c:formatCode>General</c:formatCode>
                <c:ptCount val="49"/>
                <c:pt idx="0">
                  <c:v>-2640</c:v>
                </c:pt>
                <c:pt idx="1">
                  <c:v>-2520</c:v>
                </c:pt>
                <c:pt idx="2">
                  <c:v>-2400</c:v>
                </c:pt>
                <c:pt idx="3">
                  <c:v>-2280</c:v>
                </c:pt>
                <c:pt idx="4">
                  <c:v>-2160</c:v>
                </c:pt>
                <c:pt idx="5">
                  <c:v>-2040</c:v>
                </c:pt>
                <c:pt idx="6">
                  <c:v>-1920</c:v>
                </c:pt>
                <c:pt idx="7">
                  <c:v>-1800</c:v>
                </c:pt>
                <c:pt idx="8">
                  <c:v>-1680</c:v>
                </c:pt>
                <c:pt idx="9">
                  <c:v>-1560</c:v>
                </c:pt>
                <c:pt idx="10">
                  <c:v>-1440</c:v>
                </c:pt>
                <c:pt idx="11">
                  <c:v>-1320</c:v>
                </c:pt>
                <c:pt idx="12">
                  <c:v>-1200</c:v>
                </c:pt>
                <c:pt idx="13">
                  <c:v>-1080</c:v>
                </c:pt>
                <c:pt idx="14">
                  <c:v>-960</c:v>
                </c:pt>
                <c:pt idx="15">
                  <c:v>-840</c:v>
                </c:pt>
                <c:pt idx="16">
                  <c:v>-720</c:v>
                </c:pt>
                <c:pt idx="17">
                  <c:v>-600</c:v>
                </c:pt>
                <c:pt idx="18">
                  <c:v>-480</c:v>
                </c:pt>
                <c:pt idx="19">
                  <c:v>-360</c:v>
                </c:pt>
                <c:pt idx="20">
                  <c:v>-240</c:v>
                </c:pt>
                <c:pt idx="21">
                  <c:v>-120</c:v>
                </c:pt>
                <c:pt idx="22">
                  <c:v>0</c:v>
                </c:pt>
                <c:pt idx="23">
                  <c:v>120</c:v>
                </c:pt>
                <c:pt idx="24">
                  <c:v>240</c:v>
                </c:pt>
                <c:pt idx="25">
                  <c:v>360</c:v>
                </c:pt>
                <c:pt idx="26">
                  <c:v>480</c:v>
                </c:pt>
                <c:pt idx="27">
                  <c:v>600</c:v>
                </c:pt>
                <c:pt idx="28">
                  <c:v>720</c:v>
                </c:pt>
                <c:pt idx="29">
                  <c:v>840</c:v>
                </c:pt>
                <c:pt idx="30">
                  <c:v>960</c:v>
                </c:pt>
                <c:pt idx="31">
                  <c:v>1080</c:v>
                </c:pt>
                <c:pt idx="32">
                  <c:v>1200</c:v>
                </c:pt>
                <c:pt idx="33">
                  <c:v>1320</c:v>
                </c:pt>
                <c:pt idx="34">
                  <c:v>1440</c:v>
                </c:pt>
                <c:pt idx="35">
                  <c:v>1560</c:v>
                </c:pt>
                <c:pt idx="36">
                  <c:v>1680</c:v>
                </c:pt>
                <c:pt idx="37">
                  <c:v>1800</c:v>
                </c:pt>
                <c:pt idx="38">
                  <c:v>1920</c:v>
                </c:pt>
                <c:pt idx="39">
                  <c:v>2040</c:v>
                </c:pt>
                <c:pt idx="40">
                  <c:v>2160</c:v>
                </c:pt>
                <c:pt idx="41">
                  <c:v>2280</c:v>
                </c:pt>
                <c:pt idx="42">
                  <c:v>2400</c:v>
                </c:pt>
                <c:pt idx="43">
                  <c:v>2520</c:v>
                </c:pt>
                <c:pt idx="44">
                  <c:v>2640</c:v>
                </c:pt>
                <c:pt idx="45">
                  <c:v>2760</c:v>
                </c:pt>
                <c:pt idx="46">
                  <c:v>2880</c:v>
                </c:pt>
                <c:pt idx="47">
                  <c:v>3000</c:v>
                </c:pt>
                <c:pt idx="48">
                  <c:v>3120</c:v>
                </c:pt>
              </c:numCache>
            </c:numRef>
          </c:xVal>
          <c:yVal>
            <c:numRef>
              <c:f>Sheet1!$P$8:$P$56</c:f>
              <c:numCache>
                <c:formatCode>General</c:formatCode>
                <c:ptCount val="49"/>
                <c:pt idx="0">
                  <c:v>0.10153154954452946</c:v>
                </c:pt>
                <c:pt idx="1">
                  <c:v>0.1126563078263538</c:v>
                </c:pt>
                <c:pt idx="2">
                  <c:v>0.125</c:v>
                </c:pt>
                <c:pt idx="3">
                  <c:v>0.13869618400848066</c:v>
                </c:pt>
                <c:pt idx="4">
                  <c:v>0.15389305166811457</c:v>
                </c:pt>
                <c:pt idx="5">
                  <c:v>0.17075503209429949</c:v>
                </c:pt>
                <c:pt idx="6">
                  <c:v>0.18946457081379978</c:v>
                </c:pt>
                <c:pt idx="7">
                  <c:v>0.21022410381342868</c:v>
                </c:pt>
                <c:pt idx="8">
                  <c:v>0.23325824788420191</c:v>
                </c:pt>
                <c:pt idx="9">
                  <c:v>0.2588162309603444</c:v>
                </c:pt>
                <c:pt idx="10">
                  <c:v>0.28717458874925877</c:v>
                </c:pt>
                <c:pt idx="11">
                  <c:v>0.31864015682981556</c:v>
                </c:pt>
                <c:pt idx="12">
                  <c:v>0.35355339059327373</c:v>
                </c:pt>
                <c:pt idx="13">
                  <c:v>0.39229204894837538</c:v>
                </c:pt>
                <c:pt idx="14">
                  <c:v>0.43527528164806206</c:v>
                </c:pt>
                <c:pt idx="15">
                  <c:v>0.48296816446242286</c:v>
                </c:pt>
                <c:pt idx="16">
                  <c:v>0.53588673126814657</c:v>
                </c:pt>
                <c:pt idx="17">
                  <c:v>0.59460355750136051</c:v>
                </c:pt>
                <c:pt idx="18">
                  <c:v>0.65975395538644721</c:v>
                </c:pt>
                <c:pt idx="19">
                  <c:v>0.73204284797281272</c:v>
                </c:pt>
                <c:pt idx="20">
                  <c:v>0.81225239635623547</c:v>
                </c:pt>
                <c:pt idx="21">
                  <c:v>0.90125046261083019</c:v>
                </c:pt>
                <c:pt idx="22">
                  <c:v>1</c:v>
                </c:pt>
                <c:pt idx="23">
                  <c:v>1.1095694720678451</c:v>
                </c:pt>
                <c:pt idx="24">
                  <c:v>1.2311444133449163</c:v>
                </c:pt>
                <c:pt idx="25">
                  <c:v>1.3660402567543954</c:v>
                </c:pt>
                <c:pt idx="26">
                  <c:v>1.515716566510398</c:v>
                </c:pt>
                <c:pt idx="27">
                  <c:v>1.681792830507429</c:v>
                </c:pt>
                <c:pt idx="28">
                  <c:v>1.8660659830736148</c:v>
                </c:pt>
                <c:pt idx="29">
                  <c:v>2.0705298476827547</c:v>
                </c:pt>
                <c:pt idx="30">
                  <c:v>2.2973967099940702</c:v>
                </c:pt>
                <c:pt idx="31">
                  <c:v>2.549121254638524</c:v>
                </c:pt>
                <c:pt idx="32">
                  <c:v>2.8284271247461903</c:v>
                </c:pt>
                <c:pt idx="33">
                  <c:v>3.1383363915870026</c:v>
                </c:pt>
                <c:pt idx="34">
                  <c:v>3.4822022531844965</c:v>
                </c:pt>
                <c:pt idx="35">
                  <c:v>3.863745315699382</c:v>
                </c:pt>
                <c:pt idx="36">
                  <c:v>4.2870938501451716</c:v>
                </c:pt>
                <c:pt idx="37">
                  <c:v>4.7568284600108832</c:v>
                </c:pt>
                <c:pt idx="38">
                  <c:v>5.2780316430915768</c:v>
                </c:pt>
                <c:pt idx="39">
                  <c:v>5.8563427837825</c:v>
                </c:pt>
                <c:pt idx="40">
                  <c:v>6.4980191708498829</c:v>
                </c:pt>
                <c:pt idx="41">
                  <c:v>7.2100037008866407</c:v>
                </c:pt>
                <c:pt idx="42">
                  <c:v>8</c:v>
                </c:pt>
                <c:pt idx="43">
                  <c:v>8.8765557765427587</c:v>
                </c:pt>
                <c:pt idx="44">
                  <c:v>9.8491553067593287</c:v>
                </c:pt>
                <c:pt idx="45">
                  <c:v>10.928322054035158</c:v>
                </c:pt>
                <c:pt idx="46">
                  <c:v>12.125732532083184</c:v>
                </c:pt>
                <c:pt idx="47">
                  <c:v>13.454342644059432</c:v>
                </c:pt>
                <c:pt idx="48">
                  <c:v>14.928527864588917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C01-480E-AC7E-45F93302D7D7}"/>
            </c:ext>
          </c:extLst>
        </c:ser>
        <c:ser>
          <c:idx val="10"/>
          <c:order val="4"/>
          <c:tx>
            <c:strRef>
              <c:f>Sheet1!$S$7</c:f>
              <c:strCache>
                <c:ptCount val="1"/>
                <c:pt idx="0">
                  <c:v>zoom</c:v>
                </c:pt>
              </c:strCache>
            </c:strRef>
          </c:tx>
          <c:marker>
            <c:symbol val="none"/>
          </c:marker>
          <c:xVal>
            <c:numRef>
              <c:f>Sheet1!$D$8:$D$56</c:f>
              <c:numCache>
                <c:formatCode>General</c:formatCode>
                <c:ptCount val="49"/>
                <c:pt idx="0">
                  <c:v>-2640</c:v>
                </c:pt>
                <c:pt idx="1">
                  <c:v>-2520</c:v>
                </c:pt>
                <c:pt idx="2">
                  <c:v>-2400</c:v>
                </c:pt>
                <c:pt idx="3">
                  <c:v>-2280</c:v>
                </c:pt>
                <c:pt idx="4">
                  <c:v>-2160</c:v>
                </c:pt>
                <c:pt idx="5">
                  <c:v>-2040</c:v>
                </c:pt>
                <c:pt idx="6">
                  <c:v>-1920</c:v>
                </c:pt>
                <c:pt idx="7">
                  <c:v>-1800</c:v>
                </c:pt>
                <c:pt idx="8">
                  <c:v>-1680</c:v>
                </c:pt>
                <c:pt idx="9">
                  <c:v>-1560</c:v>
                </c:pt>
                <c:pt idx="10">
                  <c:v>-1440</c:v>
                </c:pt>
                <c:pt idx="11">
                  <c:v>-1320</c:v>
                </c:pt>
                <c:pt idx="12">
                  <c:v>-1200</c:v>
                </c:pt>
                <c:pt idx="13">
                  <c:v>-1080</c:v>
                </c:pt>
                <c:pt idx="14">
                  <c:v>-960</c:v>
                </c:pt>
                <c:pt idx="15">
                  <c:v>-840</c:v>
                </c:pt>
                <c:pt idx="16">
                  <c:v>-720</c:v>
                </c:pt>
                <c:pt idx="17">
                  <c:v>-600</c:v>
                </c:pt>
                <c:pt idx="18">
                  <c:v>-480</c:v>
                </c:pt>
                <c:pt idx="19">
                  <c:v>-360</c:v>
                </c:pt>
                <c:pt idx="20">
                  <c:v>-240</c:v>
                </c:pt>
                <c:pt idx="21">
                  <c:v>-120</c:v>
                </c:pt>
                <c:pt idx="22">
                  <c:v>0</c:v>
                </c:pt>
                <c:pt idx="23">
                  <c:v>120</c:v>
                </c:pt>
                <c:pt idx="24">
                  <c:v>240</c:v>
                </c:pt>
                <c:pt idx="25">
                  <c:v>360</c:v>
                </c:pt>
                <c:pt idx="26">
                  <c:v>480</c:v>
                </c:pt>
                <c:pt idx="27">
                  <c:v>600</c:v>
                </c:pt>
                <c:pt idx="28">
                  <c:v>720</c:v>
                </c:pt>
                <c:pt idx="29">
                  <c:v>840</c:v>
                </c:pt>
                <c:pt idx="30">
                  <c:v>960</c:v>
                </c:pt>
                <c:pt idx="31">
                  <c:v>1080</c:v>
                </c:pt>
                <c:pt idx="32">
                  <c:v>1200</c:v>
                </c:pt>
                <c:pt idx="33">
                  <c:v>1320</c:v>
                </c:pt>
                <c:pt idx="34">
                  <c:v>1440</c:v>
                </c:pt>
                <c:pt idx="35">
                  <c:v>1560</c:v>
                </c:pt>
                <c:pt idx="36">
                  <c:v>1680</c:v>
                </c:pt>
                <c:pt idx="37">
                  <c:v>1800</c:v>
                </c:pt>
                <c:pt idx="38">
                  <c:v>1920</c:v>
                </c:pt>
                <c:pt idx="39">
                  <c:v>2040</c:v>
                </c:pt>
                <c:pt idx="40">
                  <c:v>2160</c:v>
                </c:pt>
                <c:pt idx="41">
                  <c:v>2280</c:v>
                </c:pt>
                <c:pt idx="42">
                  <c:v>2400</c:v>
                </c:pt>
                <c:pt idx="43">
                  <c:v>2520</c:v>
                </c:pt>
                <c:pt idx="44">
                  <c:v>2640</c:v>
                </c:pt>
                <c:pt idx="45">
                  <c:v>2760</c:v>
                </c:pt>
                <c:pt idx="46">
                  <c:v>2880</c:v>
                </c:pt>
                <c:pt idx="47">
                  <c:v>3000</c:v>
                </c:pt>
                <c:pt idx="48">
                  <c:v>3120</c:v>
                </c:pt>
              </c:numCache>
            </c:numRef>
          </c:xVal>
          <c:yVal>
            <c:numRef>
              <c:f>Sheet1!$S$8:$S$56</c:f>
              <c:numCache>
                <c:formatCode>General</c:formatCode>
                <c:ptCount val="49"/>
                <c:pt idx="0">
                  <c:v>7.9432823472428096E-2</c:v>
                </c:pt>
                <c:pt idx="1">
                  <c:v>8.9125093813374537E-2</c:v>
                </c:pt>
                <c:pt idx="2">
                  <c:v>0.1</c:v>
                </c:pt>
                <c:pt idx="3">
                  <c:v>0.11220184543019632</c:v>
                </c:pt>
                <c:pt idx="4">
                  <c:v>0.12589254117941667</c:v>
                </c:pt>
                <c:pt idx="5">
                  <c:v>0.14125375446227542</c:v>
                </c:pt>
                <c:pt idx="6">
                  <c:v>0.15848931924611132</c:v>
                </c:pt>
                <c:pt idx="7">
                  <c:v>0.17782794100389224</c:v>
                </c:pt>
                <c:pt idx="8">
                  <c:v>0.19952623149688795</c:v>
                </c:pt>
                <c:pt idx="9">
                  <c:v>0.22387211385683392</c:v>
                </c:pt>
                <c:pt idx="10">
                  <c:v>0.25118864315095801</c:v>
                </c:pt>
                <c:pt idx="11">
                  <c:v>0.28183829312644532</c:v>
                </c:pt>
                <c:pt idx="12">
                  <c:v>0.31622776601683794</c:v>
                </c:pt>
                <c:pt idx="13">
                  <c:v>0.35481338923357542</c:v>
                </c:pt>
                <c:pt idx="14">
                  <c:v>0.3981071705534972</c:v>
                </c:pt>
                <c:pt idx="15">
                  <c:v>0.44668359215096315</c:v>
                </c:pt>
                <c:pt idx="16">
                  <c:v>0.50118723362727224</c:v>
                </c:pt>
                <c:pt idx="17">
                  <c:v>0.56234132519034907</c:v>
                </c:pt>
                <c:pt idx="18">
                  <c:v>0.63095734448019325</c:v>
                </c:pt>
                <c:pt idx="19">
                  <c:v>0.70794578438413791</c:v>
                </c:pt>
                <c:pt idx="20">
                  <c:v>0.79432823472428149</c:v>
                </c:pt>
                <c:pt idx="21">
                  <c:v>0.89125093813374545</c:v>
                </c:pt>
                <c:pt idx="22">
                  <c:v>1</c:v>
                </c:pt>
                <c:pt idx="23">
                  <c:v>1.1220184543019636</c:v>
                </c:pt>
                <c:pt idx="24">
                  <c:v>1.2589254117941673</c:v>
                </c:pt>
                <c:pt idx="25">
                  <c:v>1.4125375446227544</c:v>
                </c:pt>
                <c:pt idx="26">
                  <c:v>1.5848931924611136</c:v>
                </c:pt>
                <c:pt idx="27">
                  <c:v>1.778279410038923</c:v>
                </c:pt>
                <c:pt idx="28">
                  <c:v>1.9952623149688797</c:v>
                </c:pt>
                <c:pt idx="29">
                  <c:v>2.2387211385683394</c:v>
                </c:pt>
                <c:pt idx="30">
                  <c:v>2.5118864315095806</c:v>
                </c:pt>
                <c:pt idx="31">
                  <c:v>2.8183829312644542</c:v>
                </c:pt>
                <c:pt idx="32">
                  <c:v>3.1622776601683795</c:v>
                </c:pt>
                <c:pt idx="33">
                  <c:v>3.5481338923357555</c:v>
                </c:pt>
                <c:pt idx="34">
                  <c:v>3.9810717055349727</c:v>
                </c:pt>
                <c:pt idx="35">
                  <c:v>4.4668359215096318</c:v>
                </c:pt>
                <c:pt idx="36">
                  <c:v>5.0118723362727229</c:v>
                </c:pt>
                <c:pt idx="37">
                  <c:v>5.6234132519034921</c:v>
                </c:pt>
                <c:pt idx="38">
                  <c:v>6.3095734448019343</c:v>
                </c:pt>
                <c:pt idx="39">
                  <c:v>7.0794578438413795</c:v>
                </c:pt>
                <c:pt idx="40">
                  <c:v>7.9432823472428176</c:v>
                </c:pt>
                <c:pt idx="41">
                  <c:v>8.9125093813374576</c:v>
                </c:pt>
                <c:pt idx="42">
                  <c:v>10</c:v>
                </c:pt>
                <c:pt idx="43">
                  <c:v>11.220184543019636</c:v>
                </c:pt>
                <c:pt idx="44">
                  <c:v>12.58925411794168</c:v>
                </c:pt>
                <c:pt idx="45">
                  <c:v>14.125375446227544</c:v>
                </c:pt>
                <c:pt idx="46">
                  <c:v>15.848931924611136</c:v>
                </c:pt>
                <c:pt idx="47">
                  <c:v>17.782794100389236</c:v>
                </c:pt>
                <c:pt idx="48">
                  <c:v>19.952623149688804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C01-480E-AC7E-45F93302D7D7}"/>
            </c:ext>
          </c:extLst>
        </c:ser>
        <c:ser>
          <c:idx val="11"/>
          <c:order val="5"/>
          <c:tx>
            <c:strRef>
              <c:f>Sheet1!$V$7</c:f>
              <c:strCache>
                <c:ptCount val="1"/>
                <c:pt idx="0">
                  <c:v>zoom</c:v>
                </c:pt>
              </c:strCache>
            </c:strRef>
          </c:tx>
          <c:marker>
            <c:symbol val="none"/>
          </c:marker>
          <c:xVal>
            <c:numRef>
              <c:f>Sheet1!$D$8:$D$56</c:f>
              <c:numCache>
                <c:formatCode>General</c:formatCode>
                <c:ptCount val="49"/>
                <c:pt idx="0">
                  <c:v>-2640</c:v>
                </c:pt>
                <c:pt idx="1">
                  <c:v>-2520</c:v>
                </c:pt>
                <c:pt idx="2">
                  <c:v>-2400</c:v>
                </c:pt>
                <c:pt idx="3">
                  <c:v>-2280</c:v>
                </c:pt>
                <c:pt idx="4">
                  <c:v>-2160</c:v>
                </c:pt>
                <c:pt idx="5">
                  <c:v>-2040</c:v>
                </c:pt>
                <c:pt idx="6">
                  <c:v>-1920</c:v>
                </c:pt>
                <c:pt idx="7">
                  <c:v>-1800</c:v>
                </c:pt>
                <c:pt idx="8">
                  <c:v>-1680</c:v>
                </c:pt>
                <c:pt idx="9">
                  <c:v>-1560</c:v>
                </c:pt>
                <c:pt idx="10">
                  <c:v>-1440</c:v>
                </c:pt>
                <c:pt idx="11">
                  <c:v>-1320</c:v>
                </c:pt>
                <c:pt idx="12">
                  <c:v>-1200</c:v>
                </c:pt>
                <c:pt idx="13">
                  <c:v>-1080</c:v>
                </c:pt>
                <c:pt idx="14">
                  <c:v>-960</c:v>
                </c:pt>
                <c:pt idx="15">
                  <c:v>-840</c:v>
                </c:pt>
                <c:pt idx="16">
                  <c:v>-720</c:v>
                </c:pt>
                <c:pt idx="17">
                  <c:v>-600</c:v>
                </c:pt>
                <c:pt idx="18">
                  <c:v>-480</c:v>
                </c:pt>
                <c:pt idx="19">
                  <c:v>-360</c:v>
                </c:pt>
                <c:pt idx="20">
                  <c:v>-240</c:v>
                </c:pt>
                <c:pt idx="21">
                  <c:v>-120</c:v>
                </c:pt>
                <c:pt idx="22">
                  <c:v>0</c:v>
                </c:pt>
                <c:pt idx="23">
                  <c:v>120</c:v>
                </c:pt>
                <c:pt idx="24">
                  <c:v>240</c:v>
                </c:pt>
                <c:pt idx="25">
                  <c:v>360</c:v>
                </c:pt>
                <c:pt idx="26">
                  <c:v>480</c:v>
                </c:pt>
                <c:pt idx="27">
                  <c:v>600</c:v>
                </c:pt>
                <c:pt idx="28">
                  <c:v>720</c:v>
                </c:pt>
                <c:pt idx="29">
                  <c:v>840</c:v>
                </c:pt>
                <c:pt idx="30">
                  <c:v>960</c:v>
                </c:pt>
                <c:pt idx="31">
                  <c:v>1080</c:v>
                </c:pt>
                <c:pt idx="32">
                  <c:v>1200</c:v>
                </c:pt>
                <c:pt idx="33">
                  <c:v>1320</c:v>
                </c:pt>
                <c:pt idx="34">
                  <c:v>1440</c:v>
                </c:pt>
                <c:pt idx="35">
                  <c:v>1560</c:v>
                </c:pt>
                <c:pt idx="36">
                  <c:v>1680</c:v>
                </c:pt>
                <c:pt idx="37">
                  <c:v>1800</c:v>
                </c:pt>
                <c:pt idx="38">
                  <c:v>1920</c:v>
                </c:pt>
                <c:pt idx="39">
                  <c:v>2040</c:v>
                </c:pt>
                <c:pt idx="40">
                  <c:v>2160</c:v>
                </c:pt>
                <c:pt idx="41">
                  <c:v>2280</c:v>
                </c:pt>
                <c:pt idx="42">
                  <c:v>2400</c:v>
                </c:pt>
                <c:pt idx="43">
                  <c:v>2520</c:v>
                </c:pt>
                <c:pt idx="44">
                  <c:v>2640</c:v>
                </c:pt>
                <c:pt idx="45">
                  <c:v>2760</c:v>
                </c:pt>
                <c:pt idx="46">
                  <c:v>2880</c:v>
                </c:pt>
                <c:pt idx="47">
                  <c:v>3000</c:v>
                </c:pt>
                <c:pt idx="48">
                  <c:v>3120</c:v>
                </c:pt>
              </c:numCache>
            </c:numRef>
          </c:xVal>
          <c:yVal>
            <c:numRef>
              <c:f>Sheet1!$V$8:$V$56</c:f>
              <c:numCache>
                <c:formatCode>General</c:formatCode>
                <c:ptCount val="49"/>
                <c:pt idx="0">
                  <c:v>4.7366142703449944E-2</c:v>
                </c:pt>
                <c:pt idx="1">
                  <c:v>5.4409410206007765E-2</c:v>
                </c:pt>
                <c:pt idx="2">
                  <c:v>6.25E-2</c:v>
                </c:pt>
                <c:pt idx="3">
                  <c:v>7.1793647187314694E-2</c:v>
                </c:pt>
                <c:pt idx="4">
                  <c:v>8.2469244423305901E-2</c:v>
                </c:pt>
                <c:pt idx="5">
                  <c:v>9.4732285406899902E-2</c:v>
                </c:pt>
                <c:pt idx="6">
                  <c:v>0.10881882041201553</c:v>
                </c:pt>
                <c:pt idx="7">
                  <c:v>0.12500000000000003</c:v>
                </c:pt>
                <c:pt idx="8">
                  <c:v>0.14358729437462939</c:v>
                </c:pt>
                <c:pt idx="9">
                  <c:v>0.1649384888466118</c:v>
                </c:pt>
                <c:pt idx="10">
                  <c:v>0.18946457081379978</c:v>
                </c:pt>
                <c:pt idx="11">
                  <c:v>0.21763764082403106</c:v>
                </c:pt>
                <c:pt idx="12">
                  <c:v>0.25</c:v>
                </c:pt>
                <c:pt idx="13">
                  <c:v>0.28717458874925877</c:v>
                </c:pt>
                <c:pt idx="14">
                  <c:v>0.32987697769322361</c:v>
                </c:pt>
                <c:pt idx="15">
                  <c:v>0.37892914162759955</c:v>
                </c:pt>
                <c:pt idx="16">
                  <c:v>0.43527528164806206</c:v>
                </c:pt>
                <c:pt idx="17">
                  <c:v>0.5</c:v>
                </c:pt>
                <c:pt idx="18">
                  <c:v>0.57434917749851755</c:v>
                </c:pt>
                <c:pt idx="19">
                  <c:v>0.65975395538644721</c:v>
                </c:pt>
                <c:pt idx="20">
                  <c:v>0.75785828325519911</c:v>
                </c:pt>
                <c:pt idx="21">
                  <c:v>0.87055056329612412</c:v>
                </c:pt>
                <c:pt idx="22">
                  <c:v>1</c:v>
                </c:pt>
                <c:pt idx="23">
                  <c:v>1.1486983549970351</c:v>
                </c:pt>
                <c:pt idx="24">
                  <c:v>1.3195079107728942</c:v>
                </c:pt>
                <c:pt idx="25">
                  <c:v>1.515716566510398</c:v>
                </c:pt>
                <c:pt idx="26">
                  <c:v>1.7411011265922482</c:v>
                </c:pt>
                <c:pt idx="27">
                  <c:v>2</c:v>
                </c:pt>
                <c:pt idx="28">
                  <c:v>2.2973967099940702</c:v>
                </c:pt>
                <c:pt idx="29">
                  <c:v>2.6390158215457884</c:v>
                </c:pt>
                <c:pt idx="30">
                  <c:v>3.031433133020796</c:v>
                </c:pt>
                <c:pt idx="31">
                  <c:v>3.4822022531844965</c:v>
                </c:pt>
                <c:pt idx="32">
                  <c:v>4</c:v>
                </c:pt>
                <c:pt idx="33">
                  <c:v>4.5947934199881395</c:v>
                </c:pt>
                <c:pt idx="34">
                  <c:v>5.2780316430915768</c:v>
                </c:pt>
                <c:pt idx="35">
                  <c:v>6.062866266041592</c:v>
                </c:pt>
                <c:pt idx="36">
                  <c:v>6.9644045063689921</c:v>
                </c:pt>
                <c:pt idx="37">
                  <c:v>7.9999999999999982</c:v>
                </c:pt>
                <c:pt idx="38">
                  <c:v>9.189586839976279</c:v>
                </c:pt>
                <c:pt idx="39">
                  <c:v>10.556063286183152</c:v>
                </c:pt>
                <c:pt idx="40">
                  <c:v>12.125732532083184</c:v>
                </c:pt>
                <c:pt idx="41">
                  <c:v>13.928809012737984</c:v>
                </c:pt>
                <c:pt idx="42">
                  <c:v>16</c:v>
                </c:pt>
                <c:pt idx="43">
                  <c:v>18.379173679952558</c:v>
                </c:pt>
                <c:pt idx="44">
                  <c:v>21.112126572366307</c:v>
                </c:pt>
                <c:pt idx="45">
                  <c:v>24.251465064166357</c:v>
                </c:pt>
                <c:pt idx="46">
                  <c:v>27.857618025475972</c:v>
                </c:pt>
                <c:pt idx="47">
                  <c:v>32</c:v>
                </c:pt>
                <c:pt idx="48">
                  <c:v>36.758347359905123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C01-480E-AC7E-45F93302D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405151"/>
        <c:axId val="952403711"/>
      </c:scatterChart>
      <c:valAx>
        <c:axId val="52684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40736"/>
        <c:crosses val="autoZero"/>
        <c:crossBetween val="midCat"/>
      </c:valAx>
      <c:valAx>
        <c:axId val="5268407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42176"/>
        <c:crosses val="autoZero"/>
        <c:crossBetween val="midCat"/>
      </c:valAx>
      <c:valAx>
        <c:axId val="952403711"/>
        <c:scaling>
          <c:logBase val="10"/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952405151"/>
        <c:crosses val="max"/>
        <c:crossBetween val="midCat"/>
      </c:valAx>
      <c:valAx>
        <c:axId val="952405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2403711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77046</xdr:colOff>
      <xdr:row>10</xdr:row>
      <xdr:rowOff>32471</xdr:rowOff>
    </xdr:from>
    <xdr:to>
      <xdr:col>33</xdr:col>
      <xdr:colOff>143434</xdr:colOff>
      <xdr:row>49</xdr:row>
      <xdr:rowOff>32472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BB3107-B57D-4C60-4D5A-4541C38CD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6FA2-9D02-4F5E-870B-3C810CF78FC2}">
  <dimension ref="A3:W56"/>
  <sheetViews>
    <sheetView tabSelected="1" topLeftCell="A7" zoomScale="85" zoomScaleNormal="85" workbookViewId="0">
      <selection activeCell="AH44" sqref="AH44"/>
    </sheetView>
  </sheetViews>
  <sheetFormatPr defaultRowHeight="14.35" x14ac:dyDescent="0.5"/>
  <cols>
    <col min="4" max="5" width="8.9375" style="2"/>
  </cols>
  <sheetData>
    <row r="3" spans="1:23" x14ac:dyDescent="0.5">
      <c r="A3" s="1" t="s">
        <v>1</v>
      </c>
    </row>
    <row r="4" spans="1:23" x14ac:dyDescent="0.5">
      <c r="A4" t="s">
        <v>2</v>
      </c>
      <c r="B4">
        <v>4</v>
      </c>
    </row>
    <row r="5" spans="1:23" x14ac:dyDescent="0.5">
      <c r="A5" t="s">
        <v>0</v>
      </c>
      <c r="B5">
        <v>2400</v>
      </c>
    </row>
    <row r="6" spans="1:23" ht="14.7" thickBot="1" x14ac:dyDescent="0.55000000000000004">
      <c r="A6" t="s">
        <v>5</v>
      </c>
      <c r="B6">
        <v>160</v>
      </c>
      <c r="E6" s="2" t="s">
        <v>2</v>
      </c>
      <c r="F6" s="5">
        <v>2</v>
      </c>
      <c r="G6" s="5"/>
      <c r="H6" s="6"/>
      <c r="I6" s="7">
        <v>4</v>
      </c>
      <c r="J6" s="5"/>
      <c r="K6" s="6"/>
      <c r="L6" s="7">
        <v>5</v>
      </c>
      <c r="M6" s="5"/>
      <c r="N6" s="6"/>
      <c r="O6" s="7">
        <v>8</v>
      </c>
      <c r="P6" s="5"/>
      <c r="Q6" s="6"/>
      <c r="R6" s="7">
        <v>10</v>
      </c>
      <c r="S6" s="5"/>
      <c r="T6" s="6"/>
      <c r="U6" s="7">
        <v>16</v>
      </c>
      <c r="V6" s="5"/>
      <c r="W6" s="5"/>
    </row>
    <row r="7" spans="1:23" ht="14.7" thickBot="1" x14ac:dyDescent="0.55000000000000004">
      <c r="D7" s="2" t="s">
        <v>3</v>
      </c>
      <c r="E7" s="8" t="s">
        <v>4</v>
      </c>
      <c r="F7" s="3" t="s">
        <v>6</v>
      </c>
      <c r="G7" s="3" t="s">
        <v>8</v>
      </c>
      <c r="H7" s="4" t="s">
        <v>7</v>
      </c>
      <c r="I7" s="3" t="s">
        <v>6</v>
      </c>
      <c r="J7" s="3" t="s">
        <v>8</v>
      </c>
      <c r="K7" s="4" t="s">
        <v>7</v>
      </c>
      <c r="L7" s="3" t="s">
        <v>6</v>
      </c>
      <c r="M7" s="3" t="s">
        <v>8</v>
      </c>
      <c r="N7" s="4" t="s">
        <v>7</v>
      </c>
      <c r="O7" s="3" t="s">
        <v>6</v>
      </c>
      <c r="P7" s="3" t="s">
        <v>8</v>
      </c>
      <c r="Q7" s="4" t="s">
        <v>7</v>
      </c>
      <c r="R7" s="3" t="s">
        <v>6</v>
      </c>
      <c r="S7" s="3" t="s">
        <v>8</v>
      </c>
      <c r="T7" s="4" t="s">
        <v>7</v>
      </c>
      <c r="U7" s="3" t="s">
        <v>6</v>
      </c>
      <c r="V7" s="3" t="s">
        <v>8</v>
      </c>
      <c r="W7" s="3" t="s">
        <v>7</v>
      </c>
    </row>
    <row r="8" spans="1:23" x14ac:dyDescent="0.5">
      <c r="D8" s="2">
        <f>$B$9</f>
        <v>-2640</v>
      </c>
      <c r="E8" s="2">
        <f>_xlfn.FLOOR.MATH(D8/$B$5)</f>
        <v>-2</v>
      </c>
      <c r="F8">
        <f>$B$6/(F$6^$E8)</f>
        <v>640</v>
      </c>
      <c r="G8">
        <f>F$6^($D8/$B$5)</f>
        <v>0.46651649576840371</v>
      </c>
      <c r="H8" s="9">
        <f>F8*G8</f>
        <v>298.57055729177836</v>
      </c>
      <c r="I8">
        <f>$B$6/(I$6^$E8)</f>
        <v>2560</v>
      </c>
      <c r="J8">
        <f>I$6^($D8/$B$5)</f>
        <v>0.21763764082403106</v>
      </c>
      <c r="K8" s="9">
        <f>I8*J8</f>
        <v>557.15236050951955</v>
      </c>
      <c r="L8">
        <f>$B$6/(L$6^$E8)</f>
        <v>4000</v>
      </c>
      <c r="M8">
        <f>L$6^($D8/$B$5)</f>
        <v>0.17026798450415689</v>
      </c>
      <c r="N8" s="9">
        <f>L8*M8</f>
        <v>681.07193801662754</v>
      </c>
      <c r="O8">
        <f>$B$6/(O$6^$E8)</f>
        <v>10240</v>
      </c>
      <c r="P8">
        <f>O$6^($D8/$B$5)</f>
        <v>0.10153154954452946</v>
      </c>
      <c r="Q8" s="9">
        <f>O8*P8</f>
        <v>1039.6830673359816</v>
      </c>
      <c r="R8">
        <f>$B$6/(R$6^$E8)</f>
        <v>16000</v>
      </c>
      <c r="S8">
        <f>R$6^($D8/$B$5)</f>
        <v>7.9432823472428096E-2</v>
      </c>
      <c r="T8" s="9">
        <f>R8*S8</f>
        <v>1270.9251755588496</v>
      </c>
      <c r="U8">
        <f>$B$6/(U$6^$E8)</f>
        <v>40960</v>
      </c>
      <c r="V8">
        <f>U$6^($D8/$B$5)</f>
        <v>4.7366142703449944E-2</v>
      </c>
      <c r="W8" s="10">
        <f>U8*V8</f>
        <v>1940.1172051333097</v>
      </c>
    </row>
    <row r="9" spans="1:23" x14ac:dyDescent="0.5">
      <c r="A9" t="s">
        <v>9</v>
      </c>
      <c r="B9">
        <v>-2640</v>
      </c>
      <c r="D9" s="2">
        <f>D8+$B$10</f>
        <v>-2520</v>
      </c>
      <c r="E9" s="2">
        <f>_xlfn.FLOOR.MATH(D9/$B$5)</f>
        <v>-2</v>
      </c>
      <c r="F9">
        <f>$B$6/(F$6^$E9)</f>
        <v>640</v>
      </c>
      <c r="G9">
        <f>F$6^($D9/$B$5)</f>
        <v>0.48296816446242274</v>
      </c>
      <c r="H9" s="9">
        <f t="shared" ref="H9:H21" si="0">F9*G9</f>
        <v>309.09962525595057</v>
      </c>
      <c r="I9">
        <f>$B$6/(I$6^$E9)</f>
        <v>2560</v>
      </c>
      <c r="J9">
        <f>I$6^($D9/$B$5)</f>
        <v>0.23325824788420185</v>
      </c>
      <c r="K9" s="9">
        <f t="shared" ref="K9:K21" si="1">I9*J9</f>
        <v>597.14111458355671</v>
      </c>
      <c r="L9">
        <f>$B$6/(L$6^$E9)</f>
        <v>4000</v>
      </c>
      <c r="M9">
        <f>L$6^($D9/$B$5)</f>
        <v>0.18453616691811767</v>
      </c>
      <c r="N9" s="9">
        <f t="shared" ref="N9:N21" si="2">L9*M9</f>
        <v>738.14466767247063</v>
      </c>
      <c r="O9">
        <f>$B$6/(O$6^$E9)</f>
        <v>10240</v>
      </c>
      <c r="P9">
        <f>O$6^($D9/$B$5)</f>
        <v>0.1126563078263538</v>
      </c>
      <c r="Q9" s="9">
        <f t="shared" ref="Q9:Q21" si="3">O9*P9</f>
        <v>1153.600592141863</v>
      </c>
      <c r="R9">
        <f>$B$6/(R$6^$E9)</f>
        <v>16000</v>
      </c>
      <c r="S9">
        <f>R$6^($D9/$B$5)</f>
        <v>8.9125093813374537E-2</v>
      </c>
      <c r="T9" s="9">
        <f t="shared" ref="T9:T21" si="4">R9*S9</f>
        <v>1426.0015010139925</v>
      </c>
      <c r="U9">
        <f>$B$6/(U$6^$E9)</f>
        <v>40960</v>
      </c>
      <c r="V9">
        <f>U$6^($D9/$B$5)</f>
        <v>5.4409410206007765E-2</v>
      </c>
      <c r="W9" s="10">
        <f t="shared" ref="W9:W21" si="5">U9*V9</f>
        <v>2228.6094420380782</v>
      </c>
    </row>
    <row r="10" spans="1:23" x14ac:dyDescent="0.5">
      <c r="A10" t="s">
        <v>10</v>
      </c>
      <c r="B10">
        <v>120</v>
      </c>
      <c r="D10" s="11">
        <f t="shared" ref="D10:D56" si="6">D9+$B$10</f>
        <v>-2400</v>
      </c>
      <c r="E10" s="11">
        <f>_xlfn.FLOOR.MATH(D10/$B$5)</f>
        <v>-1</v>
      </c>
      <c r="F10" s="12">
        <f>$B$6/(F$6^$E10)</f>
        <v>320</v>
      </c>
      <c r="G10" s="12">
        <f>F$6^($D10/$B$5)</f>
        <v>0.5</v>
      </c>
      <c r="H10" s="13">
        <f t="shared" si="0"/>
        <v>160</v>
      </c>
      <c r="I10" s="12">
        <f>$B$6/(I$6^$E10)</f>
        <v>640</v>
      </c>
      <c r="J10" s="12">
        <f>I$6^($D10/$B$5)</f>
        <v>0.25</v>
      </c>
      <c r="K10" s="13">
        <f t="shared" si="1"/>
        <v>160</v>
      </c>
      <c r="L10" s="12">
        <f>$B$6/(L$6^$E10)</f>
        <v>800</v>
      </c>
      <c r="M10" s="12">
        <f>L$6^($D10/$B$5)</f>
        <v>0.2</v>
      </c>
      <c r="N10" s="13">
        <f t="shared" si="2"/>
        <v>160</v>
      </c>
      <c r="O10" s="12">
        <f>$B$6/(O$6^$E10)</f>
        <v>1280</v>
      </c>
      <c r="P10" s="12">
        <f>O$6^($D10/$B$5)</f>
        <v>0.125</v>
      </c>
      <c r="Q10" s="13">
        <f t="shared" si="3"/>
        <v>160</v>
      </c>
      <c r="R10" s="12">
        <f>$B$6/(R$6^$E10)</f>
        <v>1600</v>
      </c>
      <c r="S10" s="12">
        <f>R$6^($D10/$B$5)</f>
        <v>0.1</v>
      </c>
      <c r="T10" s="13">
        <f t="shared" si="4"/>
        <v>160</v>
      </c>
      <c r="U10" s="12">
        <f>$B$6/(U$6^$E10)</f>
        <v>2560</v>
      </c>
      <c r="V10" s="12">
        <f>U$6^($D10/$B$5)</f>
        <v>6.25E-2</v>
      </c>
      <c r="W10" s="14">
        <f t="shared" si="5"/>
        <v>160</v>
      </c>
    </row>
    <row r="11" spans="1:23" x14ac:dyDescent="0.5">
      <c r="D11" s="2">
        <f t="shared" si="6"/>
        <v>-2280</v>
      </c>
      <c r="E11" s="2">
        <f>_xlfn.FLOOR.MATH(D11/$B$5)</f>
        <v>-1</v>
      </c>
      <c r="F11">
        <f>$B$6/(F$6^$E11)</f>
        <v>320</v>
      </c>
      <c r="G11">
        <f>F$6^($D11/$B$5)</f>
        <v>0.51763246192068879</v>
      </c>
      <c r="H11" s="9">
        <f t="shared" si="0"/>
        <v>165.64238781462041</v>
      </c>
      <c r="I11">
        <f>$B$6/(I$6^$E11)</f>
        <v>640</v>
      </c>
      <c r="J11">
        <f>I$6^($D11/$B$5)</f>
        <v>0.26794336563407328</v>
      </c>
      <c r="K11" s="9">
        <f t="shared" si="1"/>
        <v>171.4837540058069</v>
      </c>
      <c r="L11">
        <f>$B$6/(L$6^$E11)</f>
        <v>800</v>
      </c>
      <c r="M11">
        <f>L$6^($D11/$B$5)</f>
        <v>0.21675967734687365</v>
      </c>
      <c r="N11" s="9">
        <f t="shared" si="2"/>
        <v>173.40774187749892</v>
      </c>
      <c r="O11">
        <f>$B$6/(O$6^$E11)</f>
        <v>1280</v>
      </c>
      <c r="P11">
        <f>O$6^($D11/$B$5)</f>
        <v>0.13869618400848066</v>
      </c>
      <c r="Q11" s="9">
        <f t="shared" si="3"/>
        <v>177.53111553085523</v>
      </c>
      <c r="R11">
        <f>$B$6/(R$6^$E11)</f>
        <v>1600</v>
      </c>
      <c r="S11">
        <f>R$6^($D11/$B$5)</f>
        <v>0.11220184543019632</v>
      </c>
      <c r="T11" s="9">
        <f t="shared" si="4"/>
        <v>179.52295268831412</v>
      </c>
      <c r="U11">
        <f>$B$6/(U$6^$E11)</f>
        <v>2560</v>
      </c>
      <c r="V11">
        <f>U$6^($D11/$B$5)</f>
        <v>7.1793647187314694E-2</v>
      </c>
      <c r="W11" s="10">
        <f t="shared" si="5"/>
        <v>183.79173679952561</v>
      </c>
    </row>
    <row r="12" spans="1:23" x14ac:dyDescent="0.5">
      <c r="D12" s="2">
        <f t="shared" si="6"/>
        <v>-2160</v>
      </c>
      <c r="E12" s="2">
        <f>_xlfn.FLOOR.MATH(D12/$B$5)</f>
        <v>-1</v>
      </c>
      <c r="F12">
        <f>$B$6/(F$6^$E12)</f>
        <v>320</v>
      </c>
      <c r="G12">
        <f>F$6^($D12/$B$5)</f>
        <v>0.53588673126814657</v>
      </c>
      <c r="H12" s="9">
        <f t="shared" si="0"/>
        <v>171.4837540058069</v>
      </c>
      <c r="I12">
        <f>$B$6/(I$6^$E12)</f>
        <v>640</v>
      </c>
      <c r="J12">
        <f>I$6^($D12/$B$5)</f>
        <v>0.28717458874925877</v>
      </c>
      <c r="K12" s="9">
        <f t="shared" si="1"/>
        <v>183.79173679952561</v>
      </c>
      <c r="L12">
        <f>$B$6/(L$6^$E12)</f>
        <v>800</v>
      </c>
      <c r="M12">
        <f>L$6^($D12/$B$5)</f>
        <v>0.23492378861760377</v>
      </c>
      <c r="N12" s="9">
        <f t="shared" si="2"/>
        <v>187.939030894083</v>
      </c>
      <c r="O12">
        <f>$B$6/(O$6^$E12)</f>
        <v>1280</v>
      </c>
      <c r="P12">
        <f>O$6^($D12/$B$5)</f>
        <v>0.15389305166811457</v>
      </c>
      <c r="Q12" s="9">
        <f t="shared" si="3"/>
        <v>196.98310613518663</v>
      </c>
      <c r="R12">
        <f>$B$6/(R$6^$E12)</f>
        <v>1600</v>
      </c>
      <c r="S12">
        <f>R$6^($D12/$B$5)</f>
        <v>0.12589254117941667</v>
      </c>
      <c r="T12" s="9">
        <f t="shared" si="4"/>
        <v>201.42806588706668</v>
      </c>
      <c r="U12">
        <f>$B$6/(U$6^$E12)</f>
        <v>2560</v>
      </c>
      <c r="V12">
        <f>U$6^($D12/$B$5)</f>
        <v>8.2469244423305901E-2</v>
      </c>
      <c r="W12" s="10">
        <f t="shared" si="5"/>
        <v>211.1212657236631</v>
      </c>
    </row>
    <row r="13" spans="1:23" x14ac:dyDescent="0.5">
      <c r="D13" s="2">
        <f t="shared" si="6"/>
        <v>-2040</v>
      </c>
      <c r="E13" s="2">
        <f>_xlfn.FLOOR.MATH(D13/$B$5)</f>
        <v>-1</v>
      </c>
      <c r="F13">
        <f>$B$6/(F$6^$E13)</f>
        <v>320</v>
      </c>
      <c r="G13">
        <f>F$6^($D13/$B$5)</f>
        <v>0.55478473603392253</v>
      </c>
      <c r="H13" s="9">
        <f t="shared" si="0"/>
        <v>177.5311155308552</v>
      </c>
      <c r="I13">
        <f>$B$6/(I$6^$E13)</f>
        <v>640</v>
      </c>
      <c r="J13">
        <f>I$6^($D13/$B$5)</f>
        <v>0.30778610333622908</v>
      </c>
      <c r="K13" s="9">
        <f t="shared" si="1"/>
        <v>196.9831061351866</v>
      </c>
      <c r="L13">
        <f>$B$6/(L$6^$E13)</f>
        <v>800</v>
      </c>
      <c r="M13">
        <f>L$6^($D13/$B$5)</f>
        <v>0.25461002310928477</v>
      </c>
      <c r="N13" s="9">
        <f t="shared" si="2"/>
        <v>203.68801848742783</v>
      </c>
      <c r="O13">
        <f>$B$6/(O$6^$E13)</f>
        <v>1280</v>
      </c>
      <c r="P13">
        <f>O$6^($D13/$B$5)</f>
        <v>0.17075503209429949</v>
      </c>
      <c r="Q13" s="9">
        <f t="shared" si="3"/>
        <v>218.56644108070333</v>
      </c>
      <c r="R13">
        <f>$B$6/(R$6^$E13)</f>
        <v>1600</v>
      </c>
      <c r="S13">
        <f>R$6^($D13/$B$5)</f>
        <v>0.14125375446227542</v>
      </c>
      <c r="T13" s="9">
        <f t="shared" si="4"/>
        <v>226.00600713964067</v>
      </c>
      <c r="U13">
        <f>$B$6/(U$6^$E13)</f>
        <v>2560</v>
      </c>
      <c r="V13">
        <f>U$6^($D13/$B$5)</f>
        <v>9.4732285406899902E-2</v>
      </c>
      <c r="W13" s="10">
        <f t="shared" si="5"/>
        <v>242.51465064166376</v>
      </c>
    </row>
    <row r="14" spans="1:23" x14ac:dyDescent="0.5">
      <c r="D14" s="2">
        <f t="shared" si="6"/>
        <v>-1920</v>
      </c>
      <c r="E14" s="2">
        <f>_xlfn.FLOOR.MATH(D14/$B$5)</f>
        <v>-1</v>
      </c>
      <c r="F14">
        <f>$B$6/(F$6^$E14)</f>
        <v>320</v>
      </c>
      <c r="G14">
        <f>F$6^($D14/$B$5)</f>
        <v>0.57434917749851755</v>
      </c>
      <c r="H14" s="9">
        <f t="shared" si="0"/>
        <v>183.79173679952561</v>
      </c>
      <c r="I14">
        <f>$B$6/(I$6^$E14)</f>
        <v>640</v>
      </c>
      <c r="J14">
        <f>I$6^($D14/$B$5)</f>
        <v>0.32987697769322361</v>
      </c>
      <c r="K14" s="9">
        <f t="shared" si="1"/>
        <v>211.1212657236631</v>
      </c>
      <c r="L14">
        <f>$B$6/(L$6^$E14)</f>
        <v>800</v>
      </c>
      <c r="M14">
        <f>L$6^($D14/$B$5)</f>
        <v>0.27594593229224296</v>
      </c>
      <c r="N14" s="9">
        <f t="shared" si="2"/>
        <v>220.75674583379435</v>
      </c>
      <c r="O14">
        <f>$B$6/(O$6^$E14)</f>
        <v>1280</v>
      </c>
      <c r="P14">
        <f>O$6^($D14/$B$5)</f>
        <v>0.18946457081379978</v>
      </c>
      <c r="Q14" s="9">
        <f t="shared" si="3"/>
        <v>242.51465064166371</v>
      </c>
      <c r="R14">
        <f>$B$6/(R$6^$E14)</f>
        <v>1600</v>
      </c>
      <c r="S14">
        <f>R$6^($D14/$B$5)</f>
        <v>0.15848931924611132</v>
      </c>
      <c r="T14" s="9">
        <f t="shared" si="4"/>
        <v>253.5829107937781</v>
      </c>
      <c r="U14">
        <f>$B$6/(U$6^$E14)</f>
        <v>2560</v>
      </c>
      <c r="V14">
        <f>U$6^($D14/$B$5)</f>
        <v>0.10881882041201553</v>
      </c>
      <c r="W14" s="10">
        <f t="shared" si="5"/>
        <v>278.57618025475978</v>
      </c>
    </row>
    <row r="15" spans="1:23" x14ac:dyDescent="0.5">
      <c r="D15" s="2">
        <f t="shared" si="6"/>
        <v>-1800</v>
      </c>
      <c r="E15" s="2">
        <f>_xlfn.FLOOR.MATH(D15/$B$5)</f>
        <v>-1</v>
      </c>
      <c r="F15">
        <f>$B$6/(F$6^$E15)</f>
        <v>320</v>
      </c>
      <c r="G15">
        <f>F$6^($D15/$B$5)</f>
        <v>0.59460355750136051</v>
      </c>
      <c r="H15" s="9">
        <f t="shared" si="0"/>
        <v>190.27313840043536</v>
      </c>
      <c r="I15">
        <f>$B$6/(I$6^$E15)</f>
        <v>640</v>
      </c>
      <c r="J15">
        <f>I$6^($D15/$B$5)</f>
        <v>0.35355339059327379</v>
      </c>
      <c r="K15" s="9">
        <f t="shared" si="1"/>
        <v>226.27416997969522</v>
      </c>
      <c r="L15">
        <f>$B$6/(L$6^$E15)</f>
        <v>800</v>
      </c>
      <c r="M15">
        <f>L$6^($D15/$B$5)</f>
        <v>0.29906975624424414</v>
      </c>
      <c r="N15" s="9">
        <f t="shared" si="2"/>
        <v>239.25580499539532</v>
      </c>
      <c r="O15">
        <f>$B$6/(O$6^$E15)</f>
        <v>1280</v>
      </c>
      <c r="P15">
        <f>O$6^($D15/$B$5)</f>
        <v>0.21022410381342868</v>
      </c>
      <c r="Q15" s="9">
        <f t="shared" si="3"/>
        <v>269.08685288118869</v>
      </c>
      <c r="R15">
        <f>$B$6/(R$6^$E15)</f>
        <v>1600</v>
      </c>
      <c r="S15">
        <f>R$6^($D15/$B$5)</f>
        <v>0.17782794100389224</v>
      </c>
      <c r="T15" s="9">
        <f t="shared" si="4"/>
        <v>284.5247056062276</v>
      </c>
      <c r="U15">
        <f>$B$6/(U$6^$E15)</f>
        <v>2560</v>
      </c>
      <c r="V15">
        <f>U$6^($D15/$B$5)</f>
        <v>0.12500000000000003</v>
      </c>
      <c r="W15" s="10">
        <f t="shared" si="5"/>
        <v>320.00000000000006</v>
      </c>
    </row>
    <row r="16" spans="1:23" x14ac:dyDescent="0.5">
      <c r="D16" s="2">
        <f t="shared" si="6"/>
        <v>-1680</v>
      </c>
      <c r="E16" s="2">
        <f>_xlfn.FLOOR.MATH(D16/$B$5)</f>
        <v>-1</v>
      </c>
      <c r="F16">
        <f>$B$6/(F$6^$E16)</f>
        <v>320</v>
      </c>
      <c r="G16">
        <f>F$6^($D16/$B$5)</f>
        <v>0.61557220667245816</v>
      </c>
      <c r="H16" s="9">
        <f t="shared" si="0"/>
        <v>196.9831061351866</v>
      </c>
      <c r="I16">
        <f>$B$6/(I$6^$E16)</f>
        <v>640</v>
      </c>
      <c r="J16">
        <f>I$6^($D16/$B$5)</f>
        <v>0.37892914162759955</v>
      </c>
      <c r="K16" s="9">
        <f t="shared" si="1"/>
        <v>242.51465064166371</v>
      </c>
      <c r="L16">
        <f>$B$6/(L$6^$E16)</f>
        <v>800</v>
      </c>
      <c r="M16">
        <f>L$6^($D16/$B$5)</f>
        <v>0.32413131933855255</v>
      </c>
      <c r="N16" s="9">
        <f t="shared" si="2"/>
        <v>259.30505547084203</v>
      </c>
      <c r="O16">
        <f>$B$6/(O$6^$E16)</f>
        <v>1280</v>
      </c>
      <c r="P16">
        <f>O$6^($D16/$B$5)</f>
        <v>0.23325824788420191</v>
      </c>
      <c r="Q16" s="9">
        <f t="shared" si="3"/>
        <v>298.57055729177841</v>
      </c>
      <c r="R16">
        <f>$B$6/(R$6^$E16)</f>
        <v>1600</v>
      </c>
      <c r="S16">
        <f>R$6^($D16/$B$5)</f>
        <v>0.19952623149688795</v>
      </c>
      <c r="T16" s="9">
        <f t="shared" si="4"/>
        <v>319.2419703950207</v>
      </c>
      <c r="U16">
        <f>$B$6/(U$6^$E16)</f>
        <v>2560</v>
      </c>
      <c r="V16">
        <f>U$6^($D16/$B$5)</f>
        <v>0.14358729437462939</v>
      </c>
      <c r="W16" s="10">
        <f t="shared" si="5"/>
        <v>367.58347359905122</v>
      </c>
    </row>
    <row r="17" spans="4:23" x14ac:dyDescent="0.5">
      <c r="D17" s="2">
        <f t="shared" si="6"/>
        <v>-1560</v>
      </c>
      <c r="E17" s="2">
        <f>_xlfn.FLOOR.MATH(D17/$B$5)</f>
        <v>-1</v>
      </c>
      <c r="F17">
        <f>$B$6/(F$6^$E17)</f>
        <v>320</v>
      </c>
      <c r="G17">
        <f>F$6^($D17/$B$5)</f>
        <v>0.637280313659631</v>
      </c>
      <c r="H17" s="9">
        <f t="shared" si="0"/>
        <v>203.92970037108194</v>
      </c>
      <c r="I17">
        <f>$B$6/(I$6^$E17)</f>
        <v>640</v>
      </c>
      <c r="J17">
        <f>I$6^($D17/$B$5)</f>
        <v>0.40612619817811774</v>
      </c>
      <c r="K17" s="9">
        <f t="shared" si="1"/>
        <v>259.92076683399534</v>
      </c>
      <c r="L17">
        <f>$B$6/(L$6^$E17)</f>
        <v>800</v>
      </c>
      <c r="M17">
        <f>L$6^($D17/$B$5)</f>
        <v>0.35129300098920552</v>
      </c>
      <c r="N17" s="9">
        <f t="shared" si="2"/>
        <v>281.03440079136442</v>
      </c>
      <c r="O17">
        <f>$B$6/(O$6^$E17)</f>
        <v>1280</v>
      </c>
      <c r="P17">
        <f>O$6^($D17/$B$5)</f>
        <v>0.2588162309603444</v>
      </c>
      <c r="Q17" s="9">
        <f t="shared" si="3"/>
        <v>331.28477562924081</v>
      </c>
      <c r="R17">
        <f>$B$6/(R$6^$E17)</f>
        <v>1600</v>
      </c>
      <c r="S17">
        <f>R$6^($D17/$B$5)</f>
        <v>0.22387211385683392</v>
      </c>
      <c r="T17" s="9">
        <f t="shared" si="4"/>
        <v>358.19538217093429</v>
      </c>
      <c r="U17">
        <f>$B$6/(U$6^$E17)</f>
        <v>2560</v>
      </c>
      <c r="V17">
        <f>U$6^($D17/$B$5)</f>
        <v>0.1649384888466118</v>
      </c>
      <c r="W17" s="10">
        <f t="shared" si="5"/>
        <v>422.2425314473262</v>
      </c>
    </row>
    <row r="18" spans="4:23" x14ac:dyDescent="0.5">
      <c r="D18" s="2">
        <f t="shared" si="6"/>
        <v>-1440</v>
      </c>
      <c r="E18" s="2">
        <f>_xlfn.FLOOR.MATH(D18/$B$5)</f>
        <v>-1</v>
      </c>
      <c r="F18">
        <f>$B$6/(F$6^$E18)</f>
        <v>320</v>
      </c>
      <c r="G18">
        <f>F$6^($D18/$B$5)</f>
        <v>0.65975395538644721</v>
      </c>
      <c r="H18" s="9">
        <f t="shared" si="0"/>
        <v>211.1212657236631</v>
      </c>
      <c r="I18">
        <f>$B$6/(I$6^$E18)</f>
        <v>640</v>
      </c>
      <c r="J18">
        <f>I$6^($D18/$B$5)</f>
        <v>0.43527528164806206</v>
      </c>
      <c r="K18" s="9">
        <f t="shared" si="1"/>
        <v>278.57618025475972</v>
      </c>
      <c r="L18">
        <f>$B$6/(L$6^$E18)</f>
        <v>800</v>
      </c>
      <c r="M18">
        <f>L$6^($D18/$B$5)</f>
        <v>0.38073078774317576</v>
      </c>
      <c r="N18" s="9">
        <f t="shared" si="2"/>
        <v>304.58463019454058</v>
      </c>
      <c r="O18">
        <f>$B$6/(O$6^$E18)</f>
        <v>1280</v>
      </c>
      <c r="P18">
        <f>O$6^($D18/$B$5)</f>
        <v>0.28717458874925877</v>
      </c>
      <c r="Q18" s="9">
        <f t="shared" si="3"/>
        <v>367.58347359905122</v>
      </c>
      <c r="R18">
        <f>$B$6/(R$6^$E18)</f>
        <v>1600</v>
      </c>
      <c r="S18">
        <f>R$6^($D18/$B$5)</f>
        <v>0.25118864315095801</v>
      </c>
      <c r="T18" s="9">
        <f t="shared" si="4"/>
        <v>401.90182904153284</v>
      </c>
      <c r="U18">
        <f>$B$6/(U$6^$E18)</f>
        <v>2560</v>
      </c>
      <c r="V18">
        <f>U$6^($D18/$B$5)</f>
        <v>0.18946457081379978</v>
      </c>
      <c r="W18" s="10">
        <f t="shared" si="5"/>
        <v>485.02930128332741</v>
      </c>
    </row>
    <row r="19" spans="4:23" x14ac:dyDescent="0.5">
      <c r="D19" s="2">
        <f t="shared" si="6"/>
        <v>-1320</v>
      </c>
      <c r="E19" s="2">
        <f>_xlfn.FLOOR.MATH(D19/$B$5)</f>
        <v>-1</v>
      </c>
      <c r="F19">
        <f>$B$6/(F$6^$E19)</f>
        <v>320</v>
      </c>
      <c r="G19">
        <f>F$6^($D19/$B$5)</f>
        <v>0.68302012837719772</v>
      </c>
      <c r="H19" s="9">
        <f t="shared" si="0"/>
        <v>218.56644108070327</v>
      </c>
      <c r="I19">
        <f>$B$6/(I$6^$E19)</f>
        <v>640</v>
      </c>
      <c r="J19">
        <f>I$6^($D19/$B$5)</f>
        <v>0.46651649576840371</v>
      </c>
      <c r="K19" s="9">
        <f t="shared" si="1"/>
        <v>298.57055729177836</v>
      </c>
      <c r="L19">
        <f>$B$6/(L$6^$E19)</f>
        <v>800</v>
      </c>
      <c r="M19">
        <f>L$6^($D19/$B$5)</f>
        <v>0.41263541353615896</v>
      </c>
      <c r="N19" s="9">
        <f t="shared" si="2"/>
        <v>330.10833082892714</v>
      </c>
      <c r="O19">
        <f>$B$6/(O$6^$E19)</f>
        <v>1280</v>
      </c>
      <c r="P19">
        <f>O$6^($D19/$B$5)</f>
        <v>0.31864015682981556</v>
      </c>
      <c r="Q19" s="9">
        <f t="shared" si="3"/>
        <v>407.85940074216393</v>
      </c>
      <c r="R19">
        <f>$B$6/(R$6^$E19)</f>
        <v>1600</v>
      </c>
      <c r="S19">
        <f>R$6^($D19/$B$5)</f>
        <v>0.28183829312644532</v>
      </c>
      <c r="T19" s="9">
        <f t="shared" si="4"/>
        <v>450.94126900231248</v>
      </c>
      <c r="U19">
        <f>$B$6/(U$6^$E19)</f>
        <v>2560</v>
      </c>
      <c r="V19">
        <f>U$6^($D19/$B$5)</f>
        <v>0.21763764082403106</v>
      </c>
      <c r="W19" s="10">
        <f t="shared" si="5"/>
        <v>557.15236050951955</v>
      </c>
    </row>
    <row r="20" spans="4:23" x14ac:dyDescent="0.5">
      <c r="D20" s="2">
        <f t="shared" si="6"/>
        <v>-1200</v>
      </c>
      <c r="E20" s="2">
        <f>_xlfn.FLOOR.MATH(D20/$B$5)</f>
        <v>-1</v>
      </c>
      <c r="F20">
        <f>$B$6/(F$6^$E20)</f>
        <v>320</v>
      </c>
      <c r="G20">
        <f>F$6^($D20/$B$5)</f>
        <v>0.70710678118654746</v>
      </c>
      <c r="H20" s="9">
        <f t="shared" si="0"/>
        <v>226.27416997969519</v>
      </c>
      <c r="I20">
        <f>$B$6/(I$6^$E20)</f>
        <v>640</v>
      </c>
      <c r="J20">
        <f>I$6^($D20/$B$5)</f>
        <v>0.5</v>
      </c>
      <c r="K20" s="9">
        <f t="shared" si="1"/>
        <v>320</v>
      </c>
      <c r="L20">
        <f>$B$6/(L$6^$E20)</f>
        <v>800</v>
      </c>
      <c r="M20">
        <f>L$6^($D20/$B$5)</f>
        <v>0.44721359549995793</v>
      </c>
      <c r="N20" s="9">
        <f t="shared" si="2"/>
        <v>357.77087639996637</v>
      </c>
      <c r="O20">
        <f>$B$6/(O$6^$E20)</f>
        <v>1280</v>
      </c>
      <c r="P20">
        <f>O$6^($D20/$B$5)</f>
        <v>0.35355339059327373</v>
      </c>
      <c r="Q20" s="9">
        <f t="shared" si="3"/>
        <v>452.54833995939038</v>
      </c>
      <c r="R20">
        <f>$B$6/(R$6^$E20)</f>
        <v>1600</v>
      </c>
      <c r="S20">
        <f>R$6^($D20/$B$5)</f>
        <v>0.31622776601683794</v>
      </c>
      <c r="T20" s="9">
        <f t="shared" si="4"/>
        <v>505.96442562694068</v>
      </c>
      <c r="U20">
        <f>$B$6/(U$6^$E20)</f>
        <v>2560</v>
      </c>
      <c r="V20">
        <f>U$6^($D20/$B$5)</f>
        <v>0.25</v>
      </c>
      <c r="W20" s="10">
        <f t="shared" si="5"/>
        <v>640</v>
      </c>
    </row>
    <row r="21" spans="4:23" x14ac:dyDescent="0.5">
      <c r="D21" s="2">
        <f t="shared" si="6"/>
        <v>-1080</v>
      </c>
      <c r="E21" s="2">
        <f>_xlfn.FLOOR.MATH(D21/$B$5)</f>
        <v>-1</v>
      </c>
      <c r="F21">
        <f>$B$6/(F$6^$E21)</f>
        <v>320</v>
      </c>
      <c r="G21">
        <f>F$6^($D21/$B$5)</f>
        <v>0.73204284797281272</v>
      </c>
      <c r="H21" s="9">
        <f t="shared" si="0"/>
        <v>234.25371135130007</v>
      </c>
      <c r="I21">
        <f>$B$6/(I$6^$E21)</f>
        <v>640</v>
      </c>
      <c r="J21">
        <f>I$6^($D21/$B$5)</f>
        <v>0.53588673126814657</v>
      </c>
      <c r="K21" s="9">
        <f t="shared" si="1"/>
        <v>342.9675080116138</v>
      </c>
      <c r="L21">
        <f>$B$6/(L$6^$E21)</f>
        <v>800</v>
      </c>
      <c r="M21">
        <f>L$6^($D21/$B$5)</f>
        <v>0.48468937332853068</v>
      </c>
      <c r="N21" s="9">
        <f t="shared" si="2"/>
        <v>387.75149866282453</v>
      </c>
      <c r="O21">
        <f>$B$6/(O$6^$E21)</f>
        <v>1280</v>
      </c>
      <c r="P21">
        <f>O$6^($D21/$B$5)</f>
        <v>0.39229204894837538</v>
      </c>
      <c r="Q21" s="9">
        <f t="shared" si="3"/>
        <v>502.1338226539205</v>
      </c>
      <c r="R21">
        <f>$B$6/(R$6^$E21)</f>
        <v>1600</v>
      </c>
      <c r="S21">
        <f>R$6^($D21/$B$5)</f>
        <v>0.35481338923357542</v>
      </c>
      <c r="T21" s="9">
        <f t="shared" si="4"/>
        <v>567.70142277372065</v>
      </c>
      <c r="U21">
        <f>$B$6/(U$6^$E21)</f>
        <v>2560</v>
      </c>
      <c r="V21">
        <f>U$6^($D21/$B$5)</f>
        <v>0.28717458874925877</v>
      </c>
      <c r="W21" s="10">
        <f t="shared" si="5"/>
        <v>735.16694719810243</v>
      </c>
    </row>
    <row r="22" spans="4:23" x14ac:dyDescent="0.5">
      <c r="D22" s="2">
        <f t="shared" si="6"/>
        <v>-960</v>
      </c>
      <c r="E22" s="2">
        <f>_xlfn.FLOOR.MATH(D22/$B$5)</f>
        <v>-1</v>
      </c>
      <c r="F22">
        <f>$B$6/(F$6^$E22)</f>
        <v>320</v>
      </c>
      <c r="G22">
        <f>F$6^($D22/$B$5)</f>
        <v>0.75785828325519911</v>
      </c>
      <c r="H22" s="9">
        <f>F22*G22</f>
        <v>242.51465064166371</v>
      </c>
      <c r="I22">
        <f>$B$6/(I$6^$E22)</f>
        <v>640</v>
      </c>
      <c r="J22">
        <f>I$6^($D22/$B$5)</f>
        <v>0.57434917749851755</v>
      </c>
      <c r="K22" s="9">
        <f>I22*J22</f>
        <v>367.58347359905122</v>
      </c>
      <c r="L22">
        <f>$B$6/(L$6^$E22)</f>
        <v>800</v>
      </c>
      <c r="M22">
        <f>L$6^($D22/$B$5)</f>
        <v>0.52530556088075342</v>
      </c>
      <c r="N22" s="9">
        <f>L22*M22</f>
        <v>420.24444870460275</v>
      </c>
      <c r="O22">
        <f>$B$6/(O$6^$E22)</f>
        <v>1280</v>
      </c>
      <c r="P22">
        <f>O$6^($D22/$B$5)</f>
        <v>0.43527528164806206</v>
      </c>
      <c r="Q22" s="9">
        <f>O22*P22</f>
        <v>557.15236050951944</v>
      </c>
      <c r="R22">
        <f>$B$6/(R$6^$E22)</f>
        <v>1600</v>
      </c>
      <c r="S22">
        <f>R$6^($D22/$B$5)</f>
        <v>0.3981071705534972</v>
      </c>
      <c r="T22" s="9">
        <f>R22*S22</f>
        <v>636.97147288559552</v>
      </c>
      <c r="U22">
        <f>$B$6/(U$6^$E22)</f>
        <v>2560</v>
      </c>
      <c r="V22">
        <f>U$6^($D22/$B$5)</f>
        <v>0.32987697769322361</v>
      </c>
      <c r="W22" s="10">
        <f>U22*V22</f>
        <v>844.4850628946524</v>
      </c>
    </row>
    <row r="23" spans="4:23" x14ac:dyDescent="0.5">
      <c r="D23" s="2">
        <f t="shared" si="6"/>
        <v>-840</v>
      </c>
      <c r="E23" s="2">
        <f>_xlfn.FLOOR.MATH(D23/$B$5)</f>
        <v>-1</v>
      </c>
      <c r="F23">
        <f>$B$6/(F$6^$E23)</f>
        <v>320</v>
      </c>
      <c r="G23">
        <f>F$6^($D23/$B$5)</f>
        <v>0.78458409789675077</v>
      </c>
      <c r="H23" s="9">
        <f t="shared" ref="H23:H56" si="7">F23*G23</f>
        <v>251.06691132696025</v>
      </c>
      <c r="I23">
        <f>$B$6/(I$6^$E23)</f>
        <v>640</v>
      </c>
      <c r="J23">
        <f>I$6^($D23/$B$5)</f>
        <v>0.61557220667245816</v>
      </c>
      <c r="K23" s="9">
        <f t="shared" ref="K23:K56" si="8">I23*J23</f>
        <v>393.96621227037321</v>
      </c>
      <c r="L23">
        <f>$B$6/(L$6^$E23)</f>
        <v>800</v>
      </c>
      <c r="M23">
        <f>L$6^($D23/$B$5)</f>
        <v>0.56932531942515308</v>
      </c>
      <c r="N23" s="9">
        <f t="shared" ref="N23:N56" si="9">L23*M23</f>
        <v>455.46025554012249</v>
      </c>
      <c r="O23">
        <f>$B$6/(O$6^$E23)</f>
        <v>1280</v>
      </c>
      <c r="P23">
        <f>O$6^($D23/$B$5)</f>
        <v>0.48296816446242286</v>
      </c>
      <c r="Q23" s="9">
        <f t="shared" ref="Q23:Q56" si="10">O23*P23</f>
        <v>618.19925051190125</v>
      </c>
      <c r="R23">
        <f>$B$6/(R$6^$E23)</f>
        <v>1600</v>
      </c>
      <c r="S23">
        <f>R$6^($D23/$B$5)</f>
        <v>0.44668359215096315</v>
      </c>
      <c r="T23" s="9">
        <f t="shared" ref="T23:T56" si="11">R23*S23</f>
        <v>714.69374744154106</v>
      </c>
      <c r="U23">
        <f>$B$6/(U$6^$E23)</f>
        <v>2560</v>
      </c>
      <c r="V23">
        <f>U$6^($D23/$B$5)</f>
        <v>0.37892914162759955</v>
      </c>
      <c r="W23" s="10">
        <f t="shared" ref="W23:W56" si="12">U23*V23</f>
        <v>970.05860256665483</v>
      </c>
    </row>
    <row r="24" spans="4:23" x14ac:dyDescent="0.5">
      <c r="D24" s="2">
        <f t="shared" si="6"/>
        <v>-720</v>
      </c>
      <c r="E24" s="2">
        <f>_xlfn.FLOOR.MATH(D24/$B$5)</f>
        <v>-1</v>
      </c>
      <c r="F24">
        <f>$B$6/(F$6^$E24)</f>
        <v>320</v>
      </c>
      <c r="G24">
        <f>F$6^($D24/$B$5)</f>
        <v>0.81225239635623547</v>
      </c>
      <c r="H24" s="9">
        <f t="shared" si="7"/>
        <v>259.92076683399534</v>
      </c>
      <c r="I24">
        <f>$B$6/(I$6^$E24)</f>
        <v>640</v>
      </c>
      <c r="J24">
        <f>I$6^($D24/$B$5)</f>
        <v>0.65975395538644721</v>
      </c>
      <c r="K24" s="9">
        <f t="shared" si="8"/>
        <v>422.2425314473262</v>
      </c>
      <c r="L24">
        <f>$B$6/(L$6^$E24)</f>
        <v>800</v>
      </c>
      <c r="M24">
        <f>L$6^($D24/$B$5)</f>
        <v>0.6170338627200096</v>
      </c>
      <c r="N24" s="9">
        <f t="shared" si="9"/>
        <v>493.6270901760077</v>
      </c>
      <c r="O24">
        <f>$B$6/(O$6^$E24)</f>
        <v>1280</v>
      </c>
      <c r="P24">
        <f>O$6^($D24/$B$5)</f>
        <v>0.53588673126814657</v>
      </c>
      <c r="Q24" s="9">
        <f t="shared" si="10"/>
        <v>685.9350160232276</v>
      </c>
      <c r="R24">
        <f>$B$6/(R$6^$E24)</f>
        <v>1600</v>
      </c>
      <c r="S24">
        <f>R$6^($D24/$B$5)</f>
        <v>0.50118723362727224</v>
      </c>
      <c r="T24" s="9">
        <f t="shared" si="11"/>
        <v>801.89957380363558</v>
      </c>
      <c r="U24">
        <f>$B$6/(U$6^$E24)</f>
        <v>2560</v>
      </c>
      <c r="V24">
        <f>U$6^($D24/$B$5)</f>
        <v>0.43527528164806206</v>
      </c>
      <c r="W24" s="10">
        <f t="shared" si="12"/>
        <v>1114.3047210190389</v>
      </c>
    </row>
    <row r="25" spans="4:23" x14ac:dyDescent="0.5">
      <c r="D25" s="2">
        <f t="shared" si="6"/>
        <v>-600</v>
      </c>
      <c r="E25" s="2">
        <f>_xlfn.FLOOR.MATH(D25/$B$5)</f>
        <v>-1</v>
      </c>
      <c r="F25">
        <f>$B$6/(F$6^$E25)</f>
        <v>320</v>
      </c>
      <c r="G25">
        <f>F$6^($D25/$B$5)</f>
        <v>0.84089641525371461</v>
      </c>
      <c r="H25" s="9">
        <f t="shared" si="7"/>
        <v>269.08685288118869</v>
      </c>
      <c r="I25">
        <f>$B$6/(I$6^$E25)</f>
        <v>640</v>
      </c>
      <c r="J25">
        <f>I$6^($D25/$B$5)</f>
        <v>0.70710678118654757</v>
      </c>
      <c r="K25" s="9">
        <f t="shared" si="8"/>
        <v>452.54833995939043</v>
      </c>
      <c r="L25">
        <f>$B$6/(L$6^$E25)</f>
        <v>800</v>
      </c>
      <c r="M25">
        <f>L$6^($D25/$B$5)</f>
        <v>0.66874030497642201</v>
      </c>
      <c r="N25" s="9">
        <f t="shared" si="9"/>
        <v>534.99224398113756</v>
      </c>
      <c r="O25">
        <f>$B$6/(O$6^$E25)</f>
        <v>1280</v>
      </c>
      <c r="P25">
        <f>O$6^($D25/$B$5)</f>
        <v>0.59460355750136051</v>
      </c>
      <c r="Q25" s="9">
        <f t="shared" si="10"/>
        <v>761.09255360174143</v>
      </c>
      <c r="R25">
        <f>$B$6/(R$6^$E25)</f>
        <v>1600</v>
      </c>
      <c r="S25">
        <f>R$6^($D25/$B$5)</f>
        <v>0.56234132519034907</v>
      </c>
      <c r="T25" s="9">
        <f t="shared" si="11"/>
        <v>899.74612030455853</v>
      </c>
      <c r="U25">
        <f>$B$6/(U$6^$E25)</f>
        <v>2560</v>
      </c>
      <c r="V25">
        <f>U$6^($D25/$B$5)</f>
        <v>0.5</v>
      </c>
      <c r="W25" s="10">
        <f t="shared" si="12"/>
        <v>1280</v>
      </c>
    </row>
    <row r="26" spans="4:23" x14ac:dyDescent="0.5">
      <c r="D26" s="2">
        <f t="shared" si="6"/>
        <v>-480</v>
      </c>
      <c r="E26" s="2">
        <f>_xlfn.FLOOR.MATH(D26/$B$5)</f>
        <v>-1</v>
      </c>
      <c r="F26">
        <f>$B$6/(F$6^$E26)</f>
        <v>320</v>
      </c>
      <c r="G26">
        <f>F$6^($D26/$B$5)</f>
        <v>0.87055056329612412</v>
      </c>
      <c r="H26" s="9">
        <f t="shared" si="7"/>
        <v>278.57618025475972</v>
      </c>
      <c r="I26">
        <f>$B$6/(I$6^$E26)</f>
        <v>640</v>
      </c>
      <c r="J26">
        <f>I$6^($D26/$B$5)</f>
        <v>0.75785828325519911</v>
      </c>
      <c r="K26" s="9">
        <f t="shared" si="8"/>
        <v>485.02930128332741</v>
      </c>
      <c r="L26">
        <f>$B$6/(L$6^$E26)</f>
        <v>800</v>
      </c>
      <c r="M26">
        <f>L$6^($D26/$B$5)</f>
        <v>0.72477966367769553</v>
      </c>
      <c r="N26" s="9">
        <f t="shared" si="9"/>
        <v>579.82373094215643</v>
      </c>
      <c r="O26">
        <f>$B$6/(O$6^$E26)</f>
        <v>1280</v>
      </c>
      <c r="P26">
        <f>O$6^($D26/$B$5)</f>
        <v>0.65975395538644721</v>
      </c>
      <c r="Q26" s="9">
        <f t="shared" si="10"/>
        <v>844.4850628946524</v>
      </c>
      <c r="R26">
        <f>$B$6/(R$6^$E26)</f>
        <v>1600</v>
      </c>
      <c r="S26">
        <f>R$6^($D26/$B$5)</f>
        <v>0.63095734448019325</v>
      </c>
      <c r="T26" s="9">
        <f t="shared" si="11"/>
        <v>1009.5317511683093</v>
      </c>
      <c r="U26">
        <f>$B$6/(U$6^$E26)</f>
        <v>2560</v>
      </c>
      <c r="V26">
        <f>U$6^($D26/$B$5)</f>
        <v>0.57434917749851755</v>
      </c>
      <c r="W26" s="10">
        <f t="shared" si="12"/>
        <v>1470.3338943962049</v>
      </c>
    </row>
    <row r="27" spans="4:23" x14ac:dyDescent="0.5">
      <c r="D27" s="2">
        <f t="shared" si="6"/>
        <v>-360</v>
      </c>
      <c r="E27" s="2">
        <f>_xlfn.FLOOR.MATH(D27/$B$5)</f>
        <v>-1</v>
      </c>
      <c r="F27">
        <f>$B$6/(F$6^$E27)</f>
        <v>320</v>
      </c>
      <c r="G27">
        <f>F$6^($D27/$B$5)</f>
        <v>0.90125046261083019</v>
      </c>
      <c r="H27" s="9">
        <f t="shared" si="7"/>
        <v>288.40014803546569</v>
      </c>
      <c r="I27">
        <f>$B$6/(I$6^$E27)</f>
        <v>640</v>
      </c>
      <c r="J27">
        <f>I$6^($D27/$B$5)</f>
        <v>0.81225239635623547</v>
      </c>
      <c r="K27" s="9">
        <f t="shared" si="8"/>
        <v>519.84153366799069</v>
      </c>
      <c r="L27">
        <f>$B$6/(L$6^$E27)</f>
        <v>800</v>
      </c>
      <c r="M27">
        <f>L$6^($D27/$B$5)</f>
        <v>0.78551503023176439</v>
      </c>
      <c r="N27" s="9">
        <f t="shared" si="9"/>
        <v>628.4120241854115</v>
      </c>
      <c r="O27">
        <f>$B$6/(O$6^$E27)</f>
        <v>1280</v>
      </c>
      <c r="P27">
        <f>O$6^($D27/$B$5)</f>
        <v>0.73204284797281272</v>
      </c>
      <c r="Q27" s="9">
        <f t="shared" si="10"/>
        <v>937.01484540520028</v>
      </c>
      <c r="R27">
        <f>$B$6/(R$6^$E27)</f>
        <v>1600</v>
      </c>
      <c r="S27">
        <f>R$6^($D27/$B$5)</f>
        <v>0.70794578438413791</v>
      </c>
      <c r="T27" s="9">
        <f t="shared" si="11"/>
        <v>1132.7132550146207</v>
      </c>
      <c r="U27">
        <f>$B$6/(U$6^$E27)</f>
        <v>2560</v>
      </c>
      <c r="V27">
        <f>U$6^($D27/$B$5)</f>
        <v>0.65975395538644721</v>
      </c>
      <c r="W27" s="10">
        <f t="shared" si="12"/>
        <v>1688.9701257893048</v>
      </c>
    </row>
    <row r="28" spans="4:23" x14ac:dyDescent="0.5">
      <c r="D28" s="2">
        <f t="shared" si="6"/>
        <v>-240</v>
      </c>
      <c r="E28" s="2">
        <f>_xlfn.FLOOR.MATH(D28/$B$5)</f>
        <v>-1</v>
      </c>
      <c r="F28">
        <f>$B$6/(F$6^$E28)</f>
        <v>320</v>
      </c>
      <c r="G28">
        <f>F$6^($D28/$B$5)</f>
        <v>0.93303299153680741</v>
      </c>
      <c r="H28" s="9">
        <f t="shared" si="7"/>
        <v>298.57055729177836</v>
      </c>
      <c r="I28">
        <f>$B$6/(I$6^$E28)</f>
        <v>640</v>
      </c>
      <c r="J28">
        <f>I$6^($D28/$B$5)</f>
        <v>0.87055056329612412</v>
      </c>
      <c r="K28" s="9">
        <f t="shared" si="8"/>
        <v>557.15236050951944</v>
      </c>
      <c r="L28">
        <f>$B$6/(L$6^$E28)</f>
        <v>800</v>
      </c>
      <c r="M28">
        <f>L$6^($D28/$B$5)</f>
        <v>0.85133992252078461</v>
      </c>
      <c r="N28" s="9">
        <f t="shared" si="9"/>
        <v>681.07193801662766</v>
      </c>
      <c r="O28">
        <f>$B$6/(O$6^$E28)</f>
        <v>1280</v>
      </c>
      <c r="P28">
        <f>O$6^($D28/$B$5)</f>
        <v>0.81225239635623547</v>
      </c>
      <c r="Q28" s="9">
        <f t="shared" si="10"/>
        <v>1039.6830673359814</v>
      </c>
      <c r="R28">
        <f>$B$6/(R$6^$E28)</f>
        <v>1600</v>
      </c>
      <c r="S28">
        <f>R$6^($D28/$B$5)</f>
        <v>0.79432823472428149</v>
      </c>
      <c r="T28" s="9">
        <f t="shared" si="11"/>
        <v>1270.9251755588505</v>
      </c>
      <c r="U28">
        <f>$B$6/(U$6^$E28)</f>
        <v>2560</v>
      </c>
      <c r="V28">
        <f>U$6^($D28/$B$5)</f>
        <v>0.75785828325519911</v>
      </c>
      <c r="W28" s="10">
        <f t="shared" si="12"/>
        <v>1940.1172051333097</v>
      </c>
    </row>
    <row r="29" spans="4:23" x14ac:dyDescent="0.5">
      <c r="D29" s="2">
        <f t="shared" si="6"/>
        <v>-120</v>
      </c>
      <c r="E29" s="2">
        <f>_xlfn.FLOOR.MATH(D29/$B$5)</f>
        <v>-1</v>
      </c>
      <c r="F29">
        <f>$B$6/(F$6^$E29)</f>
        <v>320</v>
      </c>
      <c r="G29">
        <f>F$6^($D29/$B$5)</f>
        <v>0.96593632892484549</v>
      </c>
      <c r="H29" s="9">
        <f t="shared" si="7"/>
        <v>309.09962525595057</v>
      </c>
      <c r="I29">
        <f>$B$6/(I$6^$E29)</f>
        <v>640</v>
      </c>
      <c r="J29">
        <f>I$6^($D29/$B$5)</f>
        <v>0.93303299153680741</v>
      </c>
      <c r="K29" s="9">
        <f t="shared" si="8"/>
        <v>597.14111458355671</v>
      </c>
      <c r="L29">
        <f>$B$6/(L$6^$E29)</f>
        <v>800</v>
      </c>
      <c r="M29">
        <f>L$6^($D29/$B$5)</f>
        <v>0.92268083459058836</v>
      </c>
      <c r="N29" s="9">
        <f t="shared" si="9"/>
        <v>738.14466767247063</v>
      </c>
      <c r="O29">
        <f>$B$6/(O$6^$E29)</f>
        <v>1280</v>
      </c>
      <c r="P29">
        <f>O$6^($D29/$B$5)</f>
        <v>0.90125046261083019</v>
      </c>
      <c r="Q29" s="9">
        <f t="shared" si="10"/>
        <v>1153.6005921418628</v>
      </c>
      <c r="R29">
        <f>$B$6/(R$6^$E29)</f>
        <v>1600</v>
      </c>
      <c r="S29">
        <f>R$6^($D29/$B$5)</f>
        <v>0.89125093813374545</v>
      </c>
      <c r="T29" s="9">
        <f t="shared" si="11"/>
        <v>1426.0015010139928</v>
      </c>
      <c r="U29">
        <f>$B$6/(U$6^$E29)</f>
        <v>2560</v>
      </c>
      <c r="V29">
        <f>U$6^($D29/$B$5)</f>
        <v>0.87055056329612412</v>
      </c>
      <c r="W29" s="10">
        <f t="shared" si="12"/>
        <v>2228.6094420380778</v>
      </c>
    </row>
    <row r="30" spans="4:23" x14ac:dyDescent="0.5">
      <c r="D30" s="11">
        <f t="shared" si="6"/>
        <v>0</v>
      </c>
      <c r="E30" s="11">
        <f>_xlfn.FLOOR.MATH(D30/$B$5)</f>
        <v>0</v>
      </c>
      <c r="F30" s="12">
        <f>$B$6/(F$6^$E30)</f>
        <v>160</v>
      </c>
      <c r="G30" s="12">
        <f>F$6^($D30/$B$5)</f>
        <v>1</v>
      </c>
      <c r="H30" s="13">
        <f t="shared" si="7"/>
        <v>160</v>
      </c>
      <c r="I30" s="12">
        <f>$B$6/(I$6^$E30)</f>
        <v>160</v>
      </c>
      <c r="J30" s="12">
        <f>I$6^($D30/$B$5)</f>
        <v>1</v>
      </c>
      <c r="K30" s="13">
        <f t="shared" si="8"/>
        <v>160</v>
      </c>
      <c r="L30" s="12">
        <f>$B$6/(L$6^$E30)</f>
        <v>160</v>
      </c>
      <c r="M30" s="12">
        <f>L$6^($D30/$B$5)</f>
        <v>1</v>
      </c>
      <c r="N30" s="13">
        <f t="shared" si="9"/>
        <v>160</v>
      </c>
      <c r="O30" s="12">
        <f>$B$6/(O$6^$E30)</f>
        <v>160</v>
      </c>
      <c r="P30" s="12">
        <f>O$6^($D30/$B$5)</f>
        <v>1</v>
      </c>
      <c r="Q30" s="13">
        <f t="shared" si="10"/>
        <v>160</v>
      </c>
      <c r="R30" s="12">
        <f>$B$6/(R$6^$E30)</f>
        <v>160</v>
      </c>
      <c r="S30" s="12">
        <f>R$6^($D30/$B$5)</f>
        <v>1</v>
      </c>
      <c r="T30" s="13">
        <f t="shared" si="11"/>
        <v>160</v>
      </c>
      <c r="U30" s="12">
        <f>$B$6/(U$6^$E30)</f>
        <v>160</v>
      </c>
      <c r="V30" s="12">
        <f>U$6^($D30/$B$5)</f>
        <v>1</v>
      </c>
      <c r="W30" s="14">
        <f t="shared" si="12"/>
        <v>160</v>
      </c>
    </row>
    <row r="31" spans="4:23" x14ac:dyDescent="0.5">
      <c r="D31" s="2">
        <f t="shared" si="6"/>
        <v>120</v>
      </c>
      <c r="E31" s="2">
        <f>_xlfn.FLOOR.MATH(D31/$B$5)</f>
        <v>0</v>
      </c>
      <c r="F31">
        <f>$B$6/(F$6^$E31)</f>
        <v>160</v>
      </c>
      <c r="G31">
        <f>F$6^($D31/$B$5)</f>
        <v>1.0352649238413776</v>
      </c>
      <c r="H31" s="9">
        <f t="shared" si="7"/>
        <v>165.64238781462041</v>
      </c>
      <c r="I31">
        <f>$B$6/(I$6^$E31)</f>
        <v>160</v>
      </c>
      <c r="J31">
        <f>I$6^($D31/$B$5)</f>
        <v>1.0717734625362931</v>
      </c>
      <c r="K31" s="9">
        <f t="shared" si="8"/>
        <v>171.4837540058069</v>
      </c>
      <c r="L31">
        <f>$B$6/(L$6^$E31)</f>
        <v>160</v>
      </c>
      <c r="M31">
        <f>L$6^($D31/$B$5)</f>
        <v>1.0837983867343681</v>
      </c>
      <c r="N31" s="9">
        <f t="shared" si="9"/>
        <v>173.40774187749889</v>
      </c>
      <c r="O31">
        <f>$B$6/(O$6^$E31)</f>
        <v>160</v>
      </c>
      <c r="P31">
        <f>O$6^($D31/$B$5)</f>
        <v>1.1095694720678451</v>
      </c>
      <c r="Q31" s="9">
        <f t="shared" si="10"/>
        <v>177.5311155308552</v>
      </c>
      <c r="R31">
        <f>$B$6/(R$6^$E31)</f>
        <v>160</v>
      </c>
      <c r="S31">
        <f>R$6^($D31/$B$5)</f>
        <v>1.1220184543019636</v>
      </c>
      <c r="T31" s="9">
        <f t="shared" si="11"/>
        <v>179.52295268831418</v>
      </c>
      <c r="U31">
        <f>$B$6/(U$6^$E31)</f>
        <v>160</v>
      </c>
      <c r="V31">
        <f>U$6^($D31/$B$5)</f>
        <v>1.1486983549970351</v>
      </c>
      <c r="W31" s="10">
        <f t="shared" si="12"/>
        <v>183.79173679952561</v>
      </c>
    </row>
    <row r="32" spans="4:23" x14ac:dyDescent="0.5">
      <c r="D32" s="2">
        <f t="shared" si="6"/>
        <v>240</v>
      </c>
      <c r="E32" s="2">
        <f>_xlfn.FLOOR.MATH(D32/$B$5)</f>
        <v>0</v>
      </c>
      <c r="F32">
        <f>$B$6/(F$6^$E32)</f>
        <v>160</v>
      </c>
      <c r="G32">
        <f>F$6^($D32/$B$5)</f>
        <v>1.0717734625362931</v>
      </c>
      <c r="H32" s="9">
        <f t="shared" si="7"/>
        <v>171.4837540058069</v>
      </c>
      <c r="I32">
        <f>$B$6/(I$6^$E32)</f>
        <v>160</v>
      </c>
      <c r="J32">
        <f>I$6^($D32/$B$5)</f>
        <v>1.1486983549970351</v>
      </c>
      <c r="K32" s="9">
        <f t="shared" si="8"/>
        <v>183.79173679952561</v>
      </c>
      <c r="L32">
        <f>$B$6/(L$6^$E32)</f>
        <v>160</v>
      </c>
      <c r="M32">
        <f>L$6^($D32/$B$5)</f>
        <v>1.174618943088019</v>
      </c>
      <c r="N32" s="9">
        <f t="shared" si="9"/>
        <v>187.93903089408303</v>
      </c>
      <c r="O32">
        <f>$B$6/(O$6^$E32)</f>
        <v>160</v>
      </c>
      <c r="P32">
        <f>O$6^($D32/$B$5)</f>
        <v>1.2311444133449163</v>
      </c>
      <c r="Q32" s="9">
        <f t="shared" si="10"/>
        <v>196.9831061351866</v>
      </c>
      <c r="R32">
        <f>$B$6/(R$6^$E32)</f>
        <v>160</v>
      </c>
      <c r="S32">
        <f>R$6^($D32/$B$5)</f>
        <v>1.2589254117941673</v>
      </c>
      <c r="T32" s="9">
        <f t="shared" si="11"/>
        <v>201.42806588706677</v>
      </c>
      <c r="U32">
        <f>$B$6/(U$6^$E32)</f>
        <v>160</v>
      </c>
      <c r="V32">
        <f>U$6^($D32/$B$5)</f>
        <v>1.3195079107728942</v>
      </c>
      <c r="W32" s="10">
        <f t="shared" si="12"/>
        <v>211.12126572366307</v>
      </c>
    </row>
    <row r="33" spans="4:23" x14ac:dyDescent="0.5">
      <c r="D33" s="2">
        <f t="shared" si="6"/>
        <v>360</v>
      </c>
      <c r="E33" s="2">
        <f>_xlfn.FLOOR.MATH(D33/$B$5)</f>
        <v>0</v>
      </c>
      <c r="F33">
        <f>$B$6/(F$6^$E33)</f>
        <v>160</v>
      </c>
      <c r="G33">
        <f>F$6^($D33/$B$5)</f>
        <v>1.1095694720678451</v>
      </c>
      <c r="H33" s="9">
        <f t="shared" si="7"/>
        <v>177.5311155308552</v>
      </c>
      <c r="I33">
        <f>$B$6/(I$6^$E33)</f>
        <v>160</v>
      </c>
      <c r="J33">
        <f>I$6^($D33/$B$5)</f>
        <v>1.2311444133449163</v>
      </c>
      <c r="K33" s="9">
        <f t="shared" si="8"/>
        <v>196.9831061351866</v>
      </c>
      <c r="L33">
        <f>$B$6/(L$6^$E33)</f>
        <v>160</v>
      </c>
      <c r="M33">
        <f>L$6^($D33/$B$5)</f>
        <v>1.2730501155464236</v>
      </c>
      <c r="N33" s="9">
        <f t="shared" si="9"/>
        <v>203.68801848742777</v>
      </c>
      <c r="O33">
        <f>$B$6/(O$6^$E33)</f>
        <v>160</v>
      </c>
      <c r="P33">
        <f>O$6^($D33/$B$5)</f>
        <v>1.3660402567543954</v>
      </c>
      <c r="Q33" s="9">
        <f t="shared" si="10"/>
        <v>218.56644108070327</v>
      </c>
      <c r="R33">
        <f>$B$6/(R$6^$E33)</f>
        <v>160</v>
      </c>
      <c r="S33">
        <f>R$6^($D33/$B$5)</f>
        <v>1.4125375446227544</v>
      </c>
      <c r="T33" s="9">
        <f t="shared" si="11"/>
        <v>226.0060071396407</v>
      </c>
      <c r="U33">
        <f>$B$6/(U$6^$E33)</f>
        <v>160</v>
      </c>
      <c r="V33">
        <f>U$6^($D33/$B$5)</f>
        <v>1.515716566510398</v>
      </c>
      <c r="W33" s="10">
        <f t="shared" si="12"/>
        <v>242.51465064166368</v>
      </c>
    </row>
    <row r="34" spans="4:23" x14ac:dyDescent="0.5">
      <c r="D34" s="2">
        <f t="shared" si="6"/>
        <v>480</v>
      </c>
      <c r="E34" s="2">
        <f>_xlfn.FLOOR.MATH(D34/$B$5)</f>
        <v>0</v>
      </c>
      <c r="F34">
        <f>$B$6/(F$6^$E34)</f>
        <v>160</v>
      </c>
      <c r="G34">
        <f>F$6^($D34/$B$5)</f>
        <v>1.1486983549970351</v>
      </c>
      <c r="H34" s="9">
        <f t="shared" si="7"/>
        <v>183.79173679952561</v>
      </c>
      <c r="I34">
        <f>$B$6/(I$6^$E34)</f>
        <v>160</v>
      </c>
      <c r="J34">
        <f>I$6^($D34/$B$5)</f>
        <v>1.3195079107728942</v>
      </c>
      <c r="K34" s="9">
        <f t="shared" si="8"/>
        <v>211.12126572366307</v>
      </c>
      <c r="L34">
        <f>$B$6/(L$6^$E34)</f>
        <v>160</v>
      </c>
      <c r="M34">
        <f>L$6^($D34/$B$5)</f>
        <v>1.3797296614612149</v>
      </c>
      <c r="N34" s="9">
        <f t="shared" si="9"/>
        <v>220.75674583379438</v>
      </c>
      <c r="O34">
        <f>$B$6/(O$6^$E34)</f>
        <v>160</v>
      </c>
      <c r="P34">
        <f>O$6^($D34/$B$5)</f>
        <v>1.515716566510398</v>
      </c>
      <c r="Q34" s="9">
        <f t="shared" si="10"/>
        <v>242.51465064166368</v>
      </c>
      <c r="R34">
        <f>$B$6/(R$6^$E34)</f>
        <v>160</v>
      </c>
      <c r="S34">
        <f>R$6^($D34/$B$5)</f>
        <v>1.5848931924611136</v>
      </c>
      <c r="T34" s="9">
        <f t="shared" si="11"/>
        <v>253.58291079377818</v>
      </c>
      <c r="U34">
        <f>$B$6/(U$6^$E34)</f>
        <v>160</v>
      </c>
      <c r="V34">
        <f>U$6^($D34/$B$5)</f>
        <v>1.7411011265922482</v>
      </c>
      <c r="W34" s="10">
        <f t="shared" si="12"/>
        <v>278.57618025475972</v>
      </c>
    </row>
    <row r="35" spans="4:23" x14ac:dyDescent="0.5">
      <c r="D35" s="2">
        <f t="shared" si="6"/>
        <v>600</v>
      </c>
      <c r="E35" s="2">
        <f>_xlfn.FLOOR.MATH(D35/$B$5)</f>
        <v>0</v>
      </c>
      <c r="F35">
        <f>$B$6/(F$6^$E35)</f>
        <v>160</v>
      </c>
      <c r="G35">
        <f>F$6^($D35/$B$5)</f>
        <v>1.189207115002721</v>
      </c>
      <c r="H35" s="9">
        <f t="shared" si="7"/>
        <v>190.27313840043536</v>
      </c>
      <c r="I35">
        <f>$B$6/(I$6^$E35)</f>
        <v>160</v>
      </c>
      <c r="J35">
        <f>I$6^($D35/$B$5)</f>
        <v>1.4142135623730949</v>
      </c>
      <c r="K35" s="9">
        <f t="shared" si="8"/>
        <v>226.27416997969519</v>
      </c>
      <c r="L35">
        <f>$B$6/(L$6^$E35)</f>
        <v>160</v>
      </c>
      <c r="M35">
        <f>L$6^($D35/$B$5)</f>
        <v>1.4953487812212205</v>
      </c>
      <c r="N35" s="9">
        <f t="shared" si="9"/>
        <v>239.25580499539529</v>
      </c>
      <c r="O35">
        <f>$B$6/(O$6^$E35)</f>
        <v>160</v>
      </c>
      <c r="P35">
        <f>O$6^($D35/$B$5)</f>
        <v>1.681792830507429</v>
      </c>
      <c r="Q35" s="9">
        <f t="shared" si="10"/>
        <v>269.08685288118863</v>
      </c>
      <c r="R35">
        <f>$B$6/(R$6^$E35)</f>
        <v>160</v>
      </c>
      <c r="S35">
        <f>R$6^($D35/$B$5)</f>
        <v>1.778279410038923</v>
      </c>
      <c r="T35" s="9">
        <f t="shared" si="11"/>
        <v>284.52470560622766</v>
      </c>
      <c r="U35">
        <f>$B$6/(U$6^$E35)</f>
        <v>160</v>
      </c>
      <c r="V35">
        <f>U$6^($D35/$B$5)</f>
        <v>2</v>
      </c>
      <c r="W35" s="10">
        <f t="shared" si="12"/>
        <v>320</v>
      </c>
    </row>
    <row r="36" spans="4:23" x14ac:dyDescent="0.5">
      <c r="D36" s="2">
        <f t="shared" si="6"/>
        <v>720</v>
      </c>
      <c r="E36" s="2">
        <f>_xlfn.FLOOR.MATH(D36/$B$5)</f>
        <v>0</v>
      </c>
      <c r="F36">
        <f>$B$6/(F$6^$E36)</f>
        <v>160</v>
      </c>
      <c r="G36">
        <f>F$6^($D36/$B$5)</f>
        <v>1.2311444133449163</v>
      </c>
      <c r="H36" s="9">
        <f t="shared" si="7"/>
        <v>196.9831061351866</v>
      </c>
      <c r="I36">
        <f>$B$6/(I$6^$E36)</f>
        <v>160</v>
      </c>
      <c r="J36">
        <f>I$6^($D36/$B$5)</f>
        <v>1.515716566510398</v>
      </c>
      <c r="K36" s="9">
        <f t="shared" si="8"/>
        <v>242.51465064166368</v>
      </c>
      <c r="L36">
        <f>$B$6/(L$6^$E36)</f>
        <v>160</v>
      </c>
      <c r="M36">
        <f>L$6^($D36/$B$5)</f>
        <v>1.6206565966927624</v>
      </c>
      <c r="N36" s="9">
        <f t="shared" si="9"/>
        <v>259.30505547084198</v>
      </c>
      <c r="O36">
        <f>$B$6/(O$6^$E36)</f>
        <v>160</v>
      </c>
      <c r="P36">
        <f>O$6^($D36/$B$5)</f>
        <v>1.8660659830736148</v>
      </c>
      <c r="Q36" s="9">
        <f t="shared" si="10"/>
        <v>298.57055729177836</v>
      </c>
      <c r="R36">
        <f>$B$6/(R$6^$E36)</f>
        <v>160</v>
      </c>
      <c r="S36">
        <f>R$6^($D36/$B$5)</f>
        <v>1.9952623149688797</v>
      </c>
      <c r="T36" s="9">
        <f t="shared" si="11"/>
        <v>319.24197039502076</v>
      </c>
      <c r="U36">
        <f>$B$6/(U$6^$E36)</f>
        <v>160</v>
      </c>
      <c r="V36">
        <f>U$6^($D36/$B$5)</f>
        <v>2.2973967099940702</v>
      </c>
      <c r="W36" s="10">
        <f t="shared" si="12"/>
        <v>367.58347359905122</v>
      </c>
    </row>
    <row r="37" spans="4:23" x14ac:dyDescent="0.5">
      <c r="D37" s="2">
        <f t="shared" si="6"/>
        <v>840</v>
      </c>
      <c r="E37" s="2">
        <f>_xlfn.FLOOR.MATH(D37/$B$5)</f>
        <v>0</v>
      </c>
      <c r="F37">
        <f>$B$6/(F$6^$E37)</f>
        <v>160</v>
      </c>
      <c r="G37">
        <f>F$6^($D37/$B$5)</f>
        <v>1.274560627319262</v>
      </c>
      <c r="H37" s="9">
        <f t="shared" si="7"/>
        <v>203.92970037108194</v>
      </c>
      <c r="I37">
        <f>$B$6/(I$6^$E37)</f>
        <v>160</v>
      </c>
      <c r="J37">
        <f>I$6^($D37/$B$5)</f>
        <v>1.6245047927124709</v>
      </c>
      <c r="K37" s="9">
        <f t="shared" si="8"/>
        <v>259.92076683399534</v>
      </c>
      <c r="L37">
        <f>$B$6/(L$6^$E37)</f>
        <v>160</v>
      </c>
      <c r="M37">
        <f>L$6^($D37/$B$5)</f>
        <v>1.7564650049460273</v>
      </c>
      <c r="N37" s="9">
        <f t="shared" si="9"/>
        <v>281.03440079136436</v>
      </c>
      <c r="O37">
        <f>$B$6/(O$6^$E37)</f>
        <v>160</v>
      </c>
      <c r="P37">
        <f>O$6^($D37/$B$5)</f>
        <v>2.0705298476827547</v>
      </c>
      <c r="Q37" s="9">
        <f t="shared" si="10"/>
        <v>331.28477562924076</v>
      </c>
      <c r="R37">
        <f>$B$6/(R$6^$E37)</f>
        <v>160</v>
      </c>
      <c r="S37">
        <f>R$6^($D37/$B$5)</f>
        <v>2.2387211385683394</v>
      </c>
      <c r="T37" s="9">
        <f t="shared" si="11"/>
        <v>358.19538217093429</v>
      </c>
      <c r="U37">
        <f>$B$6/(U$6^$E37)</f>
        <v>160</v>
      </c>
      <c r="V37">
        <f>U$6^($D37/$B$5)</f>
        <v>2.6390158215457884</v>
      </c>
      <c r="W37" s="10">
        <f t="shared" si="12"/>
        <v>422.24253144732614</v>
      </c>
    </row>
    <row r="38" spans="4:23" x14ac:dyDescent="0.5">
      <c r="D38" s="2">
        <f t="shared" si="6"/>
        <v>960</v>
      </c>
      <c r="E38" s="2">
        <f>_xlfn.FLOOR.MATH(D38/$B$5)</f>
        <v>0</v>
      </c>
      <c r="F38">
        <f>$B$6/(F$6^$E38)</f>
        <v>160</v>
      </c>
      <c r="G38">
        <f>F$6^($D38/$B$5)</f>
        <v>1.3195079107728942</v>
      </c>
      <c r="H38" s="9">
        <f t="shared" si="7"/>
        <v>211.12126572366307</v>
      </c>
      <c r="I38">
        <f>$B$6/(I$6^$E38)</f>
        <v>160</v>
      </c>
      <c r="J38">
        <f>I$6^($D38/$B$5)</f>
        <v>1.7411011265922482</v>
      </c>
      <c r="K38" s="9">
        <f t="shared" si="8"/>
        <v>278.57618025475972</v>
      </c>
      <c r="L38">
        <f>$B$6/(L$6^$E38)</f>
        <v>160</v>
      </c>
      <c r="M38">
        <f>L$6^($D38/$B$5)</f>
        <v>1.9036539387158786</v>
      </c>
      <c r="N38" s="9">
        <f t="shared" si="9"/>
        <v>304.58463019454058</v>
      </c>
      <c r="O38">
        <f>$B$6/(O$6^$E38)</f>
        <v>160</v>
      </c>
      <c r="P38">
        <f>O$6^($D38/$B$5)</f>
        <v>2.2973967099940702</v>
      </c>
      <c r="Q38" s="9">
        <f t="shared" si="10"/>
        <v>367.58347359905122</v>
      </c>
      <c r="R38">
        <f>$B$6/(R$6^$E38)</f>
        <v>160</v>
      </c>
      <c r="S38">
        <f>R$6^($D38/$B$5)</f>
        <v>2.5118864315095806</v>
      </c>
      <c r="T38" s="9">
        <f t="shared" si="11"/>
        <v>401.90182904153289</v>
      </c>
      <c r="U38">
        <f>$B$6/(U$6^$E38)</f>
        <v>160</v>
      </c>
      <c r="V38">
        <f>U$6^($D38/$B$5)</f>
        <v>3.031433133020796</v>
      </c>
      <c r="W38" s="10">
        <f t="shared" si="12"/>
        <v>485.02930128332736</v>
      </c>
    </row>
    <row r="39" spans="4:23" x14ac:dyDescent="0.5">
      <c r="D39" s="2">
        <f t="shared" si="6"/>
        <v>1080</v>
      </c>
      <c r="E39" s="2">
        <f>_xlfn.FLOOR.MATH(D39/$B$5)</f>
        <v>0</v>
      </c>
      <c r="F39">
        <f>$B$6/(F$6^$E39)</f>
        <v>160</v>
      </c>
      <c r="G39">
        <f>F$6^($D39/$B$5)</f>
        <v>1.3660402567543954</v>
      </c>
      <c r="H39" s="9">
        <f t="shared" si="7"/>
        <v>218.56644108070327</v>
      </c>
      <c r="I39">
        <f>$B$6/(I$6^$E39)</f>
        <v>160</v>
      </c>
      <c r="J39">
        <f>I$6^($D39/$B$5)</f>
        <v>1.8660659830736148</v>
      </c>
      <c r="K39" s="9">
        <f t="shared" si="8"/>
        <v>298.57055729177836</v>
      </c>
      <c r="L39">
        <f>$B$6/(L$6^$E39)</f>
        <v>160</v>
      </c>
      <c r="M39">
        <f>L$6^($D39/$B$5)</f>
        <v>2.0631770676807948</v>
      </c>
      <c r="N39" s="9">
        <f t="shared" si="9"/>
        <v>330.10833082892714</v>
      </c>
      <c r="O39">
        <f>$B$6/(O$6^$E39)</f>
        <v>160</v>
      </c>
      <c r="P39">
        <f>O$6^($D39/$B$5)</f>
        <v>2.549121254638524</v>
      </c>
      <c r="Q39" s="9">
        <f t="shared" si="10"/>
        <v>407.85940074216387</v>
      </c>
      <c r="R39">
        <f>$B$6/(R$6^$E39)</f>
        <v>160</v>
      </c>
      <c r="S39">
        <f>R$6^($D39/$B$5)</f>
        <v>2.8183829312644542</v>
      </c>
      <c r="T39" s="9">
        <f t="shared" si="11"/>
        <v>450.94126900231265</v>
      </c>
      <c r="U39">
        <f>$B$6/(U$6^$E39)</f>
        <v>160</v>
      </c>
      <c r="V39">
        <f>U$6^($D39/$B$5)</f>
        <v>3.4822022531844965</v>
      </c>
      <c r="W39" s="10">
        <f t="shared" si="12"/>
        <v>557.15236050951944</v>
      </c>
    </row>
    <row r="40" spans="4:23" x14ac:dyDescent="0.5">
      <c r="D40" s="2">
        <f t="shared" si="6"/>
        <v>1200</v>
      </c>
      <c r="E40" s="2">
        <f>_xlfn.FLOOR.MATH(D40/$B$5)</f>
        <v>0</v>
      </c>
      <c r="F40">
        <f>$B$6/(F$6^$E40)</f>
        <v>160</v>
      </c>
      <c r="G40">
        <f>F$6^($D40/$B$5)</f>
        <v>1.4142135623730951</v>
      </c>
      <c r="H40" s="9">
        <f t="shared" si="7"/>
        <v>226.27416997969522</v>
      </c>
      <c r="I40">
        <f>$B$6/(I$6^$E40)</f>
        <v>160</v>
      </c>
      <c r="J40">
        <f>I$6^($D40/$B$5)</f>
        <v>2</v>
      </c>
      <c r="K40" s="9">
        <f t="shared" si="8"/>
        <v>320</v>
      </c>
      <c r="L40">
        <f>$B$6/(L$6^$E40)</f>
        <v>160</v>
      </c>
      <c r="M40">
        <f>L$6^($D40/$B$5)</f>
        <v>2.2360679774997898</v>
      </c>
      <c r="N40" s="9">
        <f t="shared" si="9"/>
        <v>357.77087639996637</v>
      </c>
      <c r="O40">
        <f>$B$6/(O$6^$E40)</f>
        <v>160</v>
      </c>
      <c r="P40">
        <f>O$6^($D40/$B$5)</f>
        <v>2.8284271247461903</v>
      </c>
      <c r="Q40" s="9">
        <f t="shared" si="10"/>
        <v>452.54833995939043</v>
      </c>
      <c r="R40">
        <f>$B$6/(R$6^$E40)</f>
        <v>160</v>
      </c>
      <c r="S40">
        <f>R$6^($D40/$B$5)</f>
        <v>3.1622776601683795</v>
      </c>
      <c r="T40" s="9">
        <f t="shared" si="11"/>
        <v>505.96442562694074</v>
      </c>
      <c r="U40">
        <f>$B$6/(U$6^$E40)</f>
        <v>160</v>
      </c>
      <c r="V40">
        <f>U$6^($D40/$B$5)</f>
        <v>4</v>
      </c>
      <c r="W40" s="10">
        <f t="shared" si="12"/>
        <v>640</v>
      </c>
    </row>
    <row r="41" spans="4:23" x14ac:dyDescent="0.5">
      <c r="D41" s="2">
        <f t="shared" si="6"/>
        <v>1320</v>
      </c>
      <c r="E41" s="2">
        <f>_xlfn.FLOOR.MATH(D41/$B$5)</f>
        <v>0</v>
      </c>
      <c r="F41">
        <f>$B$6/(F$6^$E41)</f>
        <v>160</v>
      </c>
      <c r="G41">
        <f>F$6^($D41/$B$5)</f>
        <v>1.4640856959456254</v>
      </c>
      <c r="H41" s="9">
        <f t="shared" si="7"/>
        <v>234.25371135130007</v>
      </c>
      <c r="I41">
        <f>$B$6/(I$6^$E41)</f>
        <v>160</v>
      </c>
      <c r="J41">
        <f>I$6^($D41/$B$5)</f>
        <v>2.1435469250725863</v>
      </c>
      <c r="K41" s="9">
        <f t="shared" si="8"/>
        <v>342.9675080116138</v>
      </c>
      <c r="L41">
        <f>$B$6/(L$6^$E41)</f>
        <v>160</v>
      </c>
      <c r="M41">
        <f>L$6^($D41/$B$5)</f>
        <v>2.4234468666426534</v>
      </c>
      <c r="N41" s="9">
        <f t="shared" si="9"/>
        <v>387.75149866282453</v>
      </c>
      <c r="O41">
        <f>$B$6/(O$6^$E41)</f>
        <v>160</v>
      </c>
      <c r="P41">
        <f>O$6^($D41/$B$5)</f>
        <v>3.1383363915870026</v>
      </c>
      <c r="Q41" s="9">
        <f t="shared" si="10"/>
        <v>502.13382265392045</v>
      </c>
      <c r="R41">
        <f>$B$6/(R$6^$E41)</f>
        <v>160</v>
      </c>
      <c r="S41">
        <f>R$6^($D41/$B$5)</f>
        <v>3.5481338923357555</v>
      </c>
      <c r="T41" s="9">
        <f t="shared" si="11"/>
        <v>567.70142277372088</v>
      </c>
      <c r="U41">
        <f>$B$6/(U$6^$E41)</f>
        <v>160</v>
      </c>
      <c r="V41">
        <f>U$6^($D41/$B$5)</f>
        <v>4.5947934199881395</v>
      </c>
      <c r="W41" s="10">
        <f t="shared" si="12"/>
        <v>735.16694719810232</v>
      </c>
    </row>
    <row r="42" spans="4:23" x14ac:dyDescent="0.5">
      <c r="D42" s="2">
        <f t="shared" si="6"/>
        <v>1440</v>
      </c>
      <c r="E42" s="2">
        <f>_xlfn.FLOOR.MATH(D42/$B$5)</f>
        <v>0</v>
      </c>
      <c r="F42">
        <f>$B$6/(F$6^$E42)</f>
        <v>160</v>
      </c>
      <c r="G42">
        <f>F$6^($D42/$B$5)</f>
        <v>1.515716566510398</v>
      </c>
      <c r="H42" s="9">
        <f t="shared" si="7"/>
        <v>242.51465064166368</v>
      </c>
      <c r="I42">
        <f>$B$6/(I$6^$E42)</f>
        <v>160</v>
      </c>
      <c r="J42">
        <f>I$6^($D42/$B$5)</f>
        <v>2.2973967099940702</v>
      </c>
      <c r="K42" s="9">
        <f t="shared" si="8"/>
        <v>367.58347359905122</v>
      </c>
      <c r="L42">
        <f>$B$6/(L$6^$E42)</f>
        <v>160</v>
      </c>
      <c r="M42">
        <f>L$6^($D42/$B$5)</f>
        <v>2.626527804403767</v>
      </c>
      <c r="N42" s="9">
        <f t="shared" si="9"/>
        <v>420.24444870460275</v>
      </c>
      <c r="O42">
        <f>$B$6/(O$6^$E42)</f>
        <v>160</v>
      </c>
      <c r="P42">
        <f>O$6^($D42/$B$5)</f>
        <v>3.4822022531844965</v>
      </c>
      <c r="Q42" s="9">
        <f t="shared" si="10"/>
        <v>557.15236050951944</v>
      </c>
      <c r="R42">
        <f>$B$6/(R$6^$E42)</f>
        <v>160</v>
      </c>
      <c r="S42">
        <f>R$6^($D42/$B$5)</f>
        <v>3.9810717055349727</v>
      </c>
      <c r="T42" s="9">
        <f t="shared" si="11"/>
        <v>636.97147288559563</v>
      </c>
      <c r="U42">
        <f>$B$6/(U$6^$E42)</f>
        <v>160</v>
      </c>
      <c r="V42">
        <f>U$6^($D42/$B$5)</f>
        <v>5.2780316430915768</v>
      </c>
      <c r="W42" s="10">
        <f t="shared" si="12"/>
        <v>844.48506289465229</v>
      </c>
    </row>
    <row r="43" spans="4:23" x14ac:dyDescent="0.5">
      <c r="D43" s="2">
        <f t="shared" si="6"/>
        <v>1560</v>
      </c>
      <c r="E43" s="2">
        <f>_xlfn.FLOOR.MATH(D43/$B$5)</f>
        <v>0</v>
      </c>
      <c r="F43">
        <f>$B$6/(F$6^$E43)</f>
        <v>160</v>
      </c>
      <c r="G43">
        <f>F$6^($D43/$B$5)</f>
        <v>1.5691681957935015</v>
      </c>
      <c r="H43" s="9">
        <f t="shared" si="7"/>
        <v>251.06691132696025</v>
      </c>
      <c r="I43">
        <f>$B$6/(I$6^$E43)</f>
        <v>160</v>
      </c>
      <c r="J43">
        <f>I$6^($D43/$B$5)</f>
        <v>2.4622888266898326</v>
      </c>
      <c r="K43" s="9">
        <f t="shared" si="8"/>
        <v>393.96621227037321</v>
      </c>
      <c r="L43">
        <f>$B$6/(L$6^$E43)</f>
        <v>160</v>
      </c>
      <c r="M43">
        <f>L$6^($D43/$B$5)</f>
        <v>2.8466265971257649</v>
      </c>
      <c r="N43" s="9">
        <f t="shared" si="9"/>
        <v>455.46025554012238</v>
      </c>
      <c r="O43">
        <f>$B$6/(O$6^$E43)</f>
        <v>160</v>
      </c>
      <c r="P43">
        <f>O$6^($D43/$B$5)</f>
        <v>3.863745315699382</v>
      </c>
      <c r="Q43" s="9">
        <f t="shared" si="10"/>
        <v>618.19925051190114</v>
      </c>
      <c r="R43">
        <f>$B$6/(R$6^$E43)</f>
        <v>160</v>
      </c>
      <c r="S43">
        <f>R$6^($D43/$B$5)</f>
        <v>4.4668359215096318</v>
      </c>
      <c r="T43" s="9">
        <f t="shared" si="11"/>
        <v>714.69374744154106</v>
      </c>
      <c r="U43">
        <f>$B$6/(U$6^$E43)</f>
        <v>160</v>
      </c>
      <c r="V43">
        <f>U$6^($D43/$B$5)</f>
        <v>6.062866266041592</v>
      </c>
      <c r="W43" s="10">
        <f t="shared" si="12"/>
        <v>970.05860256665471</v>
      </c>
    </row>
    <row r="44" spans="4:23" x14ac:dyDescent="0.5">
      <c r="D44" s="2">
        <f t="shared" si="6"/>
        <v>1680</v>
      </c>
      <c r="E44" s="2">
        <f>_xlfn.FLOOR.MATH(D44/$B$5)</f>
        <v>0</v>
      </c>
      <c r="F44">
        <f>$B$6/(F$6^$E44)</f>
        <v>160</v>
      </c>
      <c r="G44">
        <f>F$6^($D44/$B$5)</f>
        <v>1.6245047927124709</v>
      </c>
      <c r="H44" s="9">
        <f t="shared" si="7"/>
        <v>259.92076683399534</v>
      </c>
      <c r="I44">
        <f>$B$6/(I$6^$E44)</f>
        <v>160</v>
      </c>
      <c r="J44">
        <f>I$6^($D44/$B$5)</f>
        <v>2.6390158215457884</v>
      </c>
      <c r="K44" s="9">
        <f t="shared" si="8"/>
        <v>422.24253144732614</v>
      </c>
      <c r="L44">
        <f>$B$6/(L$6^$E44)</f>
        <v>160</v>
      </c>
      <c r="M44">
        <f>L$6^($D44/$B$5)</f>
        <v>3.0851693136000478</v>
      </c>
      <c r="N44" s="9">
        <f t="shared" si="9"/>
        <v>493.62709017600764</v>
      </c>
      <c r="O44">
        <f>$B$6/(O$6^$E44)</f>
        <v>160</v>
      </c>
      <c r="P44">
        <f>O$6^($D44/$B$5)</f>
        <v>4.2870938501451716</v>
      </c>
      <c r="Q44" s="9">
        <f t="shared" si="10"/>
        <v>685.93501602322749</v>
      </c>
      <c r="R44">
        <f>$B$6/(R$6^$E44)</f>
        <v>160</v>
      </c>
      <c r="S44">
        <f>R$6^($D44/$B$5)</f>
        <v>5.0118723362727229</v>
      </c>
      <c r="T44" s="9">
        <f t="shared" si="11"/>
        <v>801.89957380363569</v>
      </c>
      <c r="U44">
        <f>$B$6/(U$6^$E44)</f>
        <v>160</v>
      </c>
      <c r="V44">
        <f>U$6^($D44/$B$5)</f>
        <v>6.9644045063689921</v>
      </c>
      <c r="W44" s="10">
        <f t="shared" si="12"/>
        <v>1114.3047210190387</v>
      </c>
    </row>
    <row r="45" spans="4:23" x14ac:dyDescent="0.5">
      <c r="D45" s="2">
        <f t="shared" si="6"/>
        <v>1800</v>
      </c>
      <c r="E45" s="2">
        <f>_xlfn.FLOOR.MATH(D45/$B$5)</f>
        <v>0</v>
      </c>
      <c r="F45">
        <f>$B$6/(F$6^$E45)</f>
        <v>160</v>
      </c>
      <c r="G45">
        <f>F$6^($D45/$B$5)</f>
        <v>1.681792830507429</v>
      </c>
      <c r="H45" s="9">
        <f t="shared" si="7"/>
        <v>269.08685288118863</v>
      </c>
      <c r="I45">
        <f>$B$6/(I$6^$E45)</f>
        <v>160</v>
      </c>
      <c r="J45">
        <f>I$6^($D45/$B$5)</f>
        <v>2.8284271247461898</v>
      </c>
      <c r="K45" s="9">
        <f t="shared" si="8"/>
        <v>452.54833995939038</v>
      </c>
      <c r="L45">
        <f>$B$6/(L$6^$E45)</f>
        <v>160</v>
      </c>
      <c r="M45">
        <f>L$6^($D45/$B$5)</f>
        <v>3.3437015248821096</v>
      </c>
      <c r="N45" s="9">
        <f t="shared" si="9"/>
        <v>534.99224398113756</v>
      </c>
      <c r="O45">
        <f>$B$6/(O$6^$E45)</f>
        <v>160</v>
      </c>
      <c r="P45">
        <f>O$6^($D45/$B$5)</f>
        <v>4.7568284600108832</v>
      </c>
      <c r="Q45" s="9">
        <f t="shared" si="10"/>
        <v>761.09255360174132</v>
      </c>
      <c r="R45">
        <f>$B$6/(R$6^$E45)</f>
        <v>160</v>
      </c>
      <c r="S45">
        <f>R$6^($D45/$B$5)</f>
        <v>5.6234132519034921</v>
      </c>
      <c r="T45" s="9">
        <f t="shared" si="11"/>
        <v>899.74612030455876</v>
      </c>
      <c r="U45">
        <f>$B$6/(U$6^$E45)</f>
        <v>160</v>
      </c>
      <c r="V45">
        <f>U$6^($D45/$B$5)</f>
        <v>7.9999999999999982</v>
      </c>
      <c r="W45" s="10">
        <f t="shared" si="12"/>
        <v>1279.9999999999998</v>
      </c>
    </row>
    <row r="46" spans="4:23" x14ac:dyDescent="0.5">
      <c r="D46" s="2">
        <f t="shared" si="6"/>
        <v>1920</v>
      </c>
      <c r="E46" s="2">
        <f>_xlfn.FLOOR.MATH(D46/$B$5)</f>
        <v>0</v>
      </c>
      <c r="F46">
        <f>$B$6/(F$6^$E46)</f>
        <v>160</v>
      </c>
      <c r="G46">
        <f>F$6^($D46/$B$5)</f>
        <v>1.7411011265922482</v>
      </c>
      <c r="H46" s="9">
        <f t="shared" si="7"/>
        <v>278.57618025475972</v>
      </c>
      <c r="I46">
        <f>$B$6/(I$6^$E46)</f>
        <v>160</v>
      </c>
      <c r="J46">
        <f>I$6^($D46/$B$5)</f>
        <v>3.031433133020796</v>
      </c>
      <c r="K46" s="9">
        <f t="shared" si="8"/>
        <v>485.02930128332736</v>
      </c>
      <c r="L46">
        <f>$B$6/(L$6^$E46)</f>
        <v>160</v>
      </c>
      <c r="M46">
        <f>L$6^($D46/$B$5)</f>
        <v>3.6238983183884779</v>
      </c>
      <c r="N46" s="9">
        <f t="shared" si="9"/>
        <v>579.82373094215643</v>
      </c>
      <c r="O46">
        <f>$B$6/(O$6^$E46)</f>
        <v>160</v>
      </c>
      <c r="P46">
        <f>O$6^($D46/$B$5)</f>
        <v>5.2780316430915768</v>
      </c>
      <c r="Q46" s="9">
        <f t="shared" si="10"/>
        <v>844.48506289465229</v>
      </c>
      <c r="R46">
        <f>$B$6/(R$6^$E46)</f>
        <v>160</v>
      </c>
      <c r="S46">
        <f>R$6^($D46/$B$5)</f>
        <v>6.3095734448019343</v>
      </c>
      <c r="T46" s="9">
        <f t="shared" si="11"/>
        <v>1009.5317511683095</v>
      </c>
      <c r="U46">
        <f>$B$6/(U$6^$E46)</f>
        <v>160</v>
      </c>
      <c r="V46">
        <f>U$6^($D46/$B$5)</f>
        <v>9.189586839976279</v>
      </c>
      <c r="W46" s="10">
        <f t="shared" si="12"/>
        <v>1470.3338943962046</v>
      </c>
    </row>
    <row r="47" spans="4:23" x14ac:dyDescent="0.5">
      <c r="D47" s="2">
        <f t="shared" si="6"/>
        <v>2040</v>
      </c>
      <c r="E47" s="2">
        <f>_xlfn.FLOOR.MATH(D47/$B$5)</f>
        <v>0</v>
      </c>
      <c r="F47">
        <f>$B$6/(F$6^$E47)</f>
        <v>160</v>
      </c>
      <c r="G47">
        <f>F$6^($D47/$B$5)</f>
        <v>1.8025009252216604</v>
      </c>
      <c r="H47" s="9">
        <f t="shared" si="7"/>
        <v>288.40014803546569</v>
      </c>
      <c r="I47">
        <f>$B$6/(I$6^$E47)</f>
        <v>160</v>
      </c>
      <c r="J47">
        <f>I$6^($D47/$B$5)</f>
        <v>3.2490095854249419</v>
      </c>
      <c r="K47" s="9">
        <f t="shared" si="8"/>
        <v>519.84153366799069</v>
      </c>
      <c r="L47">
        <f>$B$6/(L$6^$E47)</f>
        <v>160</v>
      </c>
      <c r="M47">
        <f>L$6^($D47/$B$5)</f>
        <v>3.9275751511588211</v>
      </c>
      <c r="N47" s="9">
        <f t="shared" si="9"/>
        <v>628.41202418541138</v>
      </c>
      <c r="O47">
        <f>$B$6/(O$6^$E47)</f>
        <v>160</v>
      </c>
      <c r="P47">
        <f>O$6^($D47/$B$5)</f>
        <v>5.8563427837825</v>
      </c>
      <c r="Q47" s="9">
        <f t="shared" si="10"/>
        <v>937.01484540520005</v>
      </c>
      <c r="R47">
        <f>$B$6/(R$6^$E47)</f>
        <v>160</v>
      </c>
      <c r="S47">
        <f>R$6^($D47/$B$5)</f>
        <v>7.0794578438413795</v>
      </c>
      <c r="T47" s="9">
        <f t="shared" si="11"/>
        <v>1132.7132550146207</v>
      </c>
      <c r="U47">
        <f>$B$6/(U$6^$E47)</f>
        <v>160</v>
      </c>
      <c r="V47">
        <f>U$6^($D47/$B$5)</f>
        <v>10.556063286183152</v>
      </c>
      <c r="W47" s="10">
        <f t="shared" si="12"/>
        <v>1688.9701257893043</v>
      </c>
    </row>
    <row r="48" spans="4:23" x14ac:dyDescent="0.5">
      <c r="D48" s="2">
        <f t="shared" si="6"/>
        <v>2160</v>
      </c>
      <c r="E48" s="2">
        <f>_xlfn.FLOOR.MATH(D48/$B$5)</f>
        <v>0</v>
      </c>
      <c r="F48">
        <f>$B$6/(F$6^$E48)</f>
        <v>160</v>
      </c>
      <c r="G48">
        <f>F$6^($D48/$B$5)</f>
        <v>1.8660659830736148</v>
      </c>
      <c r="H48" s="9">
        <f t="shared" si="7"/>
        <v>298.57055729177836</v>
      </c>
      <c r="I48">
        <f>$B$6/(I$6^$E48)</f>
        <v>160</v>
      </c>
      <c r="J48">
        <f>I$6^($D48/$B$5)</f>
        <v>3.4822022531844965</v>
      </c>
      <c r="K48" s="9">
        <f t="shared" si="8"/>
        <v>557.15236050951944</v>
      </c>
      <c r="L48">
        <f>$B$6/(L$6^$E48)</f>
        <v>160</v>
      </c>
      <c r="M48">
        <f>L$6^($D48/$B$5)</f>
        <v>4.2566996126039234</v>
      </c>
      <c r="N48" s="9">
        <f t="shared" si="9"/>
        <v>681.07193801662777</v>
      </c>
      <c r="O48">
        <f>$B$6/(O$6^$E48)</f>
        <v>160</v>
      </c>
      <c r="P48">
        <f>O$6^($D48/$B$5)</f>
        <v>6.4980191708498829</v>
      </c>
      <c r="Q48" s="9">
        <f t="shared" si="10"/>
        <v>1039.6830673359814</v>
      </c>
      <c r="R48">
        <f>$B$6/(R$6^$E48)</f>
        <v>160</v>
      </c>
      <c r="S48">
        <f>R$6^($D48/$B$5)</f>
        <v>7.9432823472428176</v>
      </c>
      <c r="T48" s="9">
        <f t="shared" si="11"/>
        <v>1270.9251755588507</v>
      </c>
      <c r="U48">
        <f>$B$6/(U$6^$E48)</f>
        <v>160</v>
      </c>
      <c r="V48">
        <f>U$6^($D48/$B$5)</f>
        <v>12.125732532083184</v>
      </c>
      <c r="W48" s="10">
        <f t="shared" si="12"/>
        <v>1940.1172051333094</v>
      </c>
    </row>
    <row r="49" spans="4:23" x14ac:dyDescent="0.5">
      <c r="D49" s="2">
        <f t="shared" si="6"/>
        <v>2280</v>
      </c>
      <c r="E49" s="2">
        <f>_xlfn.FLOOR.MATH(D49/$B$5)</f>
        <v>0</v>
      </c>
      <c r="F49">
        <f>$B$6/(F$6^$E49)</f>
        <v>160</v>
      </c>
      <c r="G49">
        <f>F$6^($D49/$B$5)</f>
        <v>1.931872657849691</v>
      </c>
      <c r="H49" s="9">
        <f t="shared" si="7"/>
        <v>309.09962525595057</v>
      </c>
      <c r="I49">
        <f>$B$6/(I$6^$E49)</f>
        <v>160</v>
      </c>
      <c r="J49">
        <f>I$6^($D49/$B$5)</f>
        <v>3.7321319661472296</v>
      </c>
      <c r="K49" s="9">
        <f t="shared" si="8"/>
        <v>597.14111458355671</v>
      </c>
      <c r="L49">
        <f>$B$6/(L$6^$E49)</f>
        <v>160</v>
      </c>
      <c r="M49">
        <f>L$6^($D49/$B$5)</f>
        <v>4.6134041729529409</v>
      </c>
      <c r="N49" s="9">
        <f t="shared" si="9"/>
        <v>738.14466767247052</v>
      </c>
      <c r="O49">
        <f>$B$6/(O$6^$E49)</f>
        <v>160</v>
      </c>
      <c r="P49">
        <f>O$6^($D49/$B$5)</f>
        <v>7.2100037008866407</v>
      </c>
      <c r="Q49" s="9">
        <f t="shared" si="10"/>
        <v>1153.6005921418625</v>
      </c>
      <c r="R49">
        <f>$B$6/(R$6^$E49)</f>
        <v>160</v>
      </c>
      <c r="S49">
        <f>R$6^($D49/$B$5)</f>
        <v>8.9125093813374576</v>
      </c>
      <c r="T49" s="9">
        <f t="shared" si="11"/>
        <v>1426.0015010139932</v>
      </c>
      <c r="U49">
        <f>$B$6/(U$6^$E49)</f>
        <v>160</v>
      </c>
      <c r="V49">
        <f>U$6^($D49/$B$5)</f>
        <v>13.928809012737984</v>
      </c>
      <c r="W49" s="10">
        <f t="shared" si="12"/>
        <v>2228.6094420380773</v>
      </c>
    </row>
    <row r="50" spans="4:23" x14ac:dyDescent="0.5">
      <c r="D50" s="11">
        <f t="shared" si="6"/>
        <v>2400</v>
      </c>
      <c r="E50" s="11">
        <f>_xlfn.FLOOR.MATH(D50/$B$5)</f>
        <v>1</v>
      </c>
      <c r="F50" s="12">
        <f>$B$6/(F$6^$E50)</f>
        <v>80</v>
      </c>
      <c r="G50" s="12">
        <f>F$6^($D50/$B$5)</f>
        <v>2</v>
      </c>
      <c r="H50" s="13">
        <f t="shared" si="7"/>
        <v>160</v>
      </c>
      <c r="I50" s="12">
        <f>$B$6/(I$6^$E50)</f>
        <v>40</v>
      </c>
      <c r="J50" s="12">
        <f>I$6^($D50/$B$5)</f>
        <v>4</v>
      </c>
      <c r="K50" s="13">
        <f t="shared" si="8"/>
        <v>160</v>
      </c>
      <c r="L50" s="12">
        <f>$B$6/(L$6^$E50)</f>
        <v>32</v>
      </c>
      <c r="M50" s="12">
        <f>L$6^($D50/$B$5)</f>
        <v>5</v>
      </c>
      <c r="N50" s="13">
        <f t="shared" si="9"/>
        <v>160</v>
      </c>
      <c r="O50" s="12">
        <f>$B$6/(O$6^$E50)</f>
        <v>20</v>
      </c>
      <c r="P50" s="12">
        <f>O$6^($D50/$B$5)</f>
        <v>8</v>
      </c>
      <c r="Q50" s="13">
        <f t="shared" si="10"/>
        <v>160</v>
      </c>
      <c r="R50" s="12">
        <f>$B$6/(R$6^$E50)</f>
        <v>16</v>
      </c>
      <c r="S50" s="12">
        <f>R$6^($D50/$B$5)</f>
        <v>10</v>
      </c>
      <c r="T50" s="13">
        <f t="shared" si="11"/>
        <v>160</v>
      </c>
      <c r="U50" s="12">
        <f>$B$6/(U$6^$E50)</f>
        <v>10</v>
      </c>
      <c r="V50" s="12">
        <f>U$6^($D50/$B$5)</f>
        <v>16</v>
      </c>
      <c r="W50" s="14">
        <f t="shared" si="12"/>
        <v>160</v>
      </c>
    </row>
    <row r="51" spans="4:23" x14ac:dyDescent="0.5">
      <c r="D51" s="2">
        <f t="shared" si="6"/>
        <v>2520</v>
      </c>
      <c r="E51" s="2">
        <f>_xlfn.FLOOR.MATH(D51/$B$5)</f>
        <v>1</v>
      </c>
      <c r="F51">
        <f>$B$6/(F$6^$E51)</f>
        <v>80</v>
      </c>
      <c r="G51">
        <f>F$6^($D51/$B$5)</f>
        <v>2.0705298476827552</v>
      </c>
      <c r="H51" s="9">
        <f t="shared" si="7"/>
        <v>165.64238781462041</v>
      </c>
      <c r="I51">
        <f>$B$6/(I$6^$E51)</f>
        <v>40</v>
      </c>
      <c r="J51">
        <f>I$6^($D51/$B$5)</f>
        <v>4.2870938501451725</v>
      </c>
      <c r="K51" s="9">
        <f t="shared" si="8"/>
        <v>171.4837540058069</v>
      </c>
      <c r="L51">
        <f>$B$6/(L$6^$E51)</f>
        <v>32</v>
      </c>
      <c r="M51">
        <f>L$6^($D51/$B$5)</f>
        <v>5.4189919336718404</v>
      </c>
      <c r="N51" s="9">
        <f t="shared" si="9"/>
        <v>173.40774187749889</v>
      </c>
      <c r="O51">
        <f>$B$6/(O$6^$E51)</f>
        <v>20</v>
      </c>
      <c r="P51">
        <f>O$6^($D51/$B$5)</f>
        <v>8.8765557765427587</v>
      </c>
      <c r="Q51" s="9">
        <f t="shared" si="10"/>
        <v>177.53111553085517</v>
      </c>
      <c r="R51">
        <f>$B$6/(R$6^$E51)</f>
        <v>16</v>
      </c>
      <c r="S51">
        <f>R$6^($D51/$B$5)</f>
        <v>11.220184543019636</v>
      </c>
      <c r="T51" s="9">
        <f t="shared" si="11"/>
        <v>179.52295268831418</v>
      </c>
      <c r="U51">
        <f>$B$6/(U$6^$E51)</f>
        <v>10</v>
      </c>
      <c r="V51">
        <f>U$6^($D51/$B$5)</f>
        <v>18.379173679952558</v>
      </c>
      <c r="W51" s="10">
        <f t="shared" si="12"/>
        <v>183.79173679952558</v>
      </c>
    </row>
    <row r="52" spans="4:23" x14ac:dyDescent="0.5">
      <c r="D52" s="2">
        <f t="shared" si="6"/>
        <v>2640</v>
      </c>
      <c r="E52" s="2">
        <f>_xlfn.FLOOR.MATH(D52/$B$5)</f>
        <v>1</v>
      </c>
      <c r="F52">
        <f>$B$6/(F$6^$E52)</f>
        <v>80</v>
      </c>
      <c r="G52">
        <f>F$6^($D52/$B$5)</f>
        <v>2.1435469250725863</v>
      </c>
      <c r="H52" s="9">
        <f t="shared" si="7"/>
        <v>171.4837540058069</v>
      </c>
      <c r="I52">
        <f>$B$6/(I$6^$E52)</f>
        <v>40</v>
      </c>
      <c r="J52">
        <f>I$6^($D52/$B$5)</f>
        <v>4.5947934199881395</v>
      </c>
      <c r="K52" s="9">
        <f t="shared" si="8"/>
        <v>183.79173679952558</v>
      </c>
      <c r="L52">
        <f>$B$6/(L$6^$E52)</f>
        <v>32</v>
      </c>
      <c r="M52">
        <f>L$6^($D52/$B$5)</f>
        <v>5.8730947154400956</v>
      </c>
      <c r="N52" s="9">
        <f t="shared" si="9"/>
        <v>187.93903089408306</v>
      </c>
      <c r="O52">
        <f>$B$6/(O$6^$E52)</f>
        <v>20</v>
      </c>
      <c r="P52">
        <f>O$6^($D52/$B$5)</f>
        <v>9.8491553067593287</v>
      </c>
      <c r="Q52" s="9">
        <f t="shared" si="10"/>
        <v>196.98310613518657</v>
      </c>
      <c r="R52">
        <f>$B$6/(R$6^$E52)</f>
        <v>16</v>
      </c>
      <c r="S52">
        <f>R$6^($D52/$B$5)</f>
        <v>12.58925411794168</v>
      </c>
      <c r="T52" s="9">
        <f t="shared" si="11"/>
        <v>201.42806588706688</v>
      </c>
      <c r="U52">
        <f>$B$6/(U$6^$E52)</f>
        <v>10</v>
      </c>
      <c r="V52">
        <f>U$6^($D52/$B$5)</f>
        <v>21.112126572366307</v>
      </c>
      <c r="W52" s="10">
        <f t="shared" si="12"/>
        <v>211.12126572366307</v>
      </c>
    </row>
    <row r="53" spans="4:23" x14ac:dyDescent="0.5">
      <c r="D53" s="2">
        <f t="shared" si="6"/>
        <v>2760</v>
      </c>
      <c r="E53" s="2">
        <f>_xlfn.FLOOR.MATH(D53/$B$5)</f>
        <v>1</v>
      </c>
      <c r="F53">
        <f>$B$6/(F$6^$E53)</f>
        <v>80</v>
      </c>
      <c r="G53">
        <f>F$6^($D53/$B$5)</f>
        <v>2.2191389441356897</v>
      </c>
      <c r="H53" s="9">
        <f t="shared" si="7"/>
        <v>177.53111553085517</v>
      </c>
      <c r="I53">
        <f>$B$6/(I$6^$E53)</f>
        <v>40</v>
      </c>
      <c r="J53">
        <f>I$6^($D53/$B$5)</f>
        <v>4.9245776533796644</v>
      </c>
      <c r="K53" s="9">
        <f t="shared" si="8"/>
        <v>196.98310613518657</v>
      </c>
      <c r="L53">
        <f>$B$6/(L$6^$E53)</f>
        <v>32</v>
      </c>
      <c r="M53">
        <f>L$6^($D53/$B$5)</f>
        <v>6.3652505777321169</v>
      </c>
      <c r="N53" s="9">
        <f t="shared" si="9"/>
        <v>203.68801848742774</v>
      </c>
      <c r="O53">
        <f>$B$6/(O$6^$E53)</f>
        <v>20</v>
      </c>
      <c r="P53">
        <f>O$6^($D53/$B$5)</f>
        <v>10.928322054035158</v>
      </c>
      <c r="Q53" s="9">
        <f t="shared" si="10"/>
        <v>218.56644108070316</v>
      </c>
      <c r="R53">
        <f>$B$6/(R$6^$E53)</f>
        <v>16</v>
      </c>
      <c r="S53">
        <f>R$6^($D53/$B$5)</f>
        <v>14.125375446227544</v>
      </c>
      <c r="T53" s="9">
        <f t="shared" si="11"/>
        <v>226.0060071396407</v>
      </c>
      <c r="U53">
        <f>$B$6/(U$6^$E53)</f>
        <v>10</v>
      </c>
      <c r="V53">
        <f>U$6^($D53/$B$5)</f>
        <v>24.251465064166357</v>
      </c>
      <c r="W53" s="10">
        <f t="shared" si="12"/>
        <v>242.51465064166356</v>
      </c>
    </row>
    <row r="54" spans="4:23" x14ac:dyDescent="0.5">
      <c r="D54" s="2">
        <f t="shared" si="6"/>
        <v>2880</v>
      </c>
      <c r="E54" s="2">
        <f>_xlfn.FLOOR.MATH(D54/$B$5)</f>
        <v>1</v>
      </c>
      <c r="F54">
        <f>$B$6/(F$6^$E54)</f>
        <v>80</v>
      </c>
      <c r="G54">
        <f>F$6^($D54/$B$5)</f>
        <v>2.2973967099940702</v>
      </c>
      <c r="H54" s="9">
        <f t="shared" si="7"/>
        <v>183.79173679952561</v>
      </c>
      <c r="I54">
        <f>$B$6/(I$6^$E54)</f>
        <v>40</v>
      </c>
      <c r="J54">
        <f>I$6^($D54/$B$5)</f>
        <v>5.2780316430915768</v>
      </c>
      <c r="K54" s="9">
        <f t="shared" si="8"/>
        <v>211.12126572366307</v>
      </c>
      <c r="L54">
        <f>$B$6/(L$6^$E54)</f>
        <v>32</v>
      </c>
      <c r="M54">
        <f>L$6^($D54/$B$5)</f>
        <v>6.8986483073060727</v>
      </c>
      <c r="N54" s="9">
        <f t="shared" si="9"/>
        <v>220.75674583379433</v>
      </c>
      <c r="O54">
        <f>$B$6/(O$6^$E54)</f>
        <v>20</v>
      </c>
      <c r="P54">
        <f>O$6^($D54/$B$5)</f>
        <v>12.125732532083184</v>
      </c>
      <c r="Q54" s="9">
        <f t="shared" si="10"/>
        <v>242.51465064166368</v>
      </c>
      <c r="R54">
        <f>$B$6/(R$6^$E54)</f>
        <v>16</v>
      </c>
      <c r="S54">
        <f>R$6^($D54/$B$5)</f>
        <v>15.848931924611136</v>
      </c>
      <c r="T54" s="9">
        <f t="shared" si="11"/>
        <v>253.58291079377818</v>
      </c>
      <c r="U54">
        <f>$B$6/(U$6^$E54)</f>
        <v>10</v>
      </c>
      <c r="V54">
        <f>U$6^($D54/$B$5)</f>
        <v>27.857618025475972</v>
      </c>
      <c r="W54" s="10">
        <f t="shared" si="12"/>
        <v>278.57618025475972</v>
      </c>
    </row>
    <row r="55" spans="4:23" x14ac:dyDescent="0.5">
      <c r="D55" s="2">
        <f t="shared" si="6"/>
        <v>3000</v>
      </c>
      <c r="E55" s="2">
        <f>_xlfn.FLOOR.MATH(D55/$B$5)</f>
        <v>1</v>
      </c>
      <c r="F55">
        <f>$B$6/(F$6^$E55)</f>
        <v>80</v>
      </c>
      <c r="G55">
        <f>F$6^($D55/$B$5)</f>
        <v>2.3784142300054421</v>
      </c>
      <c r="H55" s="9">
        <f t="shared" si="7"/>
        <v>190.27313840043536</v>
      </c>
      <c r="I55">
        <f>$B$6/(I$6^$E55)</f>
        <v>40</v>
      </c>
      <c r="J55">
        <f>I$6^($D55/$B$5)</f>
        <v>5.6568542494923806</v>
      </c>
      <c r="K55" s="9">
        <f t="shared" si="8"/>
        <v>226.27416997969522</v>
      </c>
      <c r="L55">
        <f>$B$6/(L$6^$E55)</f>
        <v>32</v>
      </c>
      <c r="M55">
        <f>L$6^($D55/$B$5)</f>
        <v>7.4767439061061021</v>
      </c>
      <c r="N55" s="9">
        <f t="shared" si="9"/>
        <v>239.25580499539527</v>
      </c>
      <c r="O55">
        <f>$B$6/(O$6^$E55)</f>
        <v>20</v>
      </c>
      <c r="P55">
        <f>O$6^($D55/$B$5)</f>
        <v>13.454342644059432</v>
      </c>
      <c r="Q55" s="9">
        <f t="shared" si="10"/>
        <v>269.08685288118863</v>
      </c>
      <c r="R55">
        <f>$B$6/(R$6^$E55)</f>
        <v>16</v>
      </c>
      <c r="S55">
        <f>R$6^($D55/$B$5)</f>
        <v>17.782794100389236</v>
      </c>
      <c r="T55" s="9">
        <f t="shared" si="11"/>
        <v>284.52470560622777</v>
      </c>
      <c r="U55">
        <f>$B$6/(U$6^$E55)</f>
        <v>10</v>
      </c>
      <c r="V55">
        <f>U$6^($D55/$B$5)</f>
        <v>32</v>
      </c>
      <c r="W55" s="10">
        <f t="shared" si="12"/>
        <v>320</v>
      </c>
    </row>
    <row r="56" spans="4:23" x14ac:dyDescent="0.5">
      <c r="D56" s="2">
        <f t="shared" si="6"/>
        <v>3120</v>
      </c>
      <c r="E56" s="2">
        <f>_xlfn.FLOOR.MATH(D56/$B$5)</f>
        <v>1</v>
      </c>
      <c r="F56">
        <f>$B$6/(F$6^$E56)</f>
        <v>80</v>
      </c>
      <c r="G56">
        <f>F$6^($D56/$B$5)</f>
        <v>2.4622888266898326</v>
      </c>
      <c r="H56" s="9">
        <f t="shared" si="7"/>
        <v>196.9831061351866</v>
      </c>
      <c r="I56">
        <f>$B$6/(I$6^$E56)</f>
        <v>40</v>
      </c>
      <c r="J56">
        <f>I$6^($D56/$B$5)</f>
        <v>6.062866266041592</v>
      </c>
      <c r="K56" s="9">
        <f t="shared" si="8"/>
        <v>242.51465064166368</v>
      </c>
      <c r="L56">
        <f>$B$6/(L$6^$E56)</f>
        <v>32</v>
      </c>
      <c r="M56">
        <f>L$6^($D56/$B$5)</f>
        <v>8.1032829834638118</v>
      </c>
      <c r="N56" s="9">
        <f t="shared" si="9"/>
        <v>259.30505547084198</v>
      </c>
      <c r="O56">
        <f>$B$6/(O$6^$E56)</f>
        <v>20</v>
      </c>
      <c r="P56">
        <f>O$6^($D56/$B$5)</f>
        <v>14.928527864588917</v>
      </c>
      <c r="Q56" s="9">
        <f t="shared" si="10"/>
        <v>298.57055729177836</v>
      </c>
      <c r="R56">
        <f>$B$6/(R$6^$E56)</f>
        <v>16</v>
      </c>
      <c r="S56">
        <f>R$6^($D56/$B$5)</f>
        <v>19.952623149688804</v>
      </c>
      <c r="T56" s="9">
        <f t="shared" si="11"/>
        <v>319.24197039502087</v>
      </c>
      <c r="U56">
        <f>$B$6/(U$6^$E56)</f>
        <v>10</v>
      </c>
      <c r="V56">
        <f>U$6^($D56/$B$5)</f>
        <v>36.758347359905123</v>
      </c>
      <c r="W56" s="10">
        <f t="shared" si="12"/>
        <v>367.58347359905122</v>
      </c>
    </row>
  </sheetData>
  <mergeCells count="6">
    <mergeCell ref="F6:H6"/>
    <mergeCell ref="I6:K6"/>
    <mergeCell ref="L6:N6"/>
    <mergeCell ref="O6:Q6"/>
    <mergeCell ref="R6:T6"/>
    <mergeCell ref="U6:W6"/>
  </mergeCells>
  <pageMargins left="0.7" right="0.7" top="0.75" bottom="0.75" header="0.3" footer="0.3"/>
  <pageSetup orientation="portrait" horizontalDpi="300" verticalDpi="300" r:id="rId1"/>
  <headerFooter>
    <oddFooter>&amp;C_x000D_&amp;1#&amp;"Aptos"&amp;10&amp;K000000 OMNIVA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Schwager</dc:creator>
  <cp:lastModifiedBy>Michael Schwager</cp:lastModifiedBy>
  <dcterms:created xsi:type="dcterms:W3CDTF">2025-11-02T02:17:53Z</dcterms:created>
  <dcterms:modified xsi:type="dcterms:W3CDTF">2025-11-03T18:03:10Z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c2ff0-e95b-471c-8dfd-c5744fd06470_Enabled">
    <vt:lpwstr>true</vt:lpwstr>
  </property>
  <property fmtid="{D5CDD505-2E9C-101B-9397-08002B2CF9AE}" pid="3" name="MSIP_Label_1adc2ff0-e95b-471c-8dfd-c5744fd06470_SetDate">
    <vt:lpwstr>2025-11-02T22:27:32Z</vt:lpwstr>
  </property>
  <property fmtid="{D5CDD505-2E9C-101B-9397-08002B2CF9AE}" pid="4" name="MSIP_Label_1adc2ff0-e95b-471c-8dfd-c5744fd06470_Method">
    <vt:lpwstr>Standard</vt:lpwstr>
  </property>
  <property fmtid="{D5CDD505-2E9C-101B-9397-08002B2CF9AE}" pid="5" name="MSIP_Label_1adc2ff0-e95b-471c-8dfd-c5744fd06470_Name">
    <vt:lpwstr>No Watermark (OC)</vt:lpwstr>
  </property>
  <property fmtid="{D5CDD505-2E9C-101B-9397-08002B2CF9AE}" pid="6" name="MSIP_Label_1adc2ff0-e95b-471c-8dfd-c5744fd06470_SiteId">
    <vt:lpwstr>a5130114-6a0b-4809-8d0c-c8b3fc546053</vt:lpwstr>
  </property>
  <property fmtid="{D5CDD505-2E9C-101B-9397-08002B2CF9AE}" pid="7" name="MSIP_Label_1adc2ff0-e95b-471c-8dfd-c5744fd06470_ActionId">
    <vt:lpwstr>1ababe5c-f2ae-4dd3-a8b0-27ba7d684f52</vt:lpwstr>
  </property>
  <property fmtid="{D5CDD505-2E9C-101B-9397-08002B2CF9AE}" pid="8" name="MSIP_Label_1adc2ff0-e95b-471c-8dfd-c5744fd06470_ContentBits">
    <vt:lpwstr>2</vt:lpwstr>
  </property>
  <property fmtid="{D5CDD505-2E9C-101B-9397-08002B2CF9AE}" pid="9" name="MSIP_Label_1adc2ff0-e95b-471c-8dfd-c5744fd06470_Tag">
    <vt:lpwstr>10, 3, 0, 1</vt:lpwstr>
  </property>
</Properties>
</file>