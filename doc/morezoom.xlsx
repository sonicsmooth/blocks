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source\repos\blocks\nim\doc\"/>
    </mc:Choice>
  </mc:AlternateContent>
  <xr:revisionPtr revIDLastSave="0" documentId="8_{FEAAC7BD-E17A-4015-AC79-8792CB834E7B}" xr6:coauthVersionLast="47" xr6:coauthVersionMax="47" xr10:uidLastSave="{00000000-0000-0000-0000-000000000000}"/>
  <bookViews>
    <workbookView xWindow="-108" yWindow="-108" windowWidth="23256" windowHeight="14616" xr2:uid="{8899B5A2-91EA-45CD-B151-2FB1913B8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U11" i="1"/>
  <c r="U10" i="1"/>
  <c r="U9" i="1"/>
  <c r="U8" i="1"/>
  <c r="U7" i="1"/>
  <c r="U6" i="1"/>
  <c r="K12" i="1"/>
  <c r="R12" i="1" s="1"/>
  <c r="K11" i="1"/>
  <c r="R11" i="1" s="1"/>
  <c r="K10" i="1"/>
  <c r="W10" i="1" s="1"/>
  <c r="K9" i="1"/>
  <c r="W9" i="1" s="1"/>
  <c r="K8" i="1"/>
  <c r="R8" i="1" s="1"/>
  <c r="K7" i="1"/>
  <c r="M7" i="1" s="1"/>
  <c r="K6" i="1"/>
  <c r="R6" i="1" s="1"/>
  <c r="N12" i="1" l="1"/>
  <c r="M9" i="1"/>
  <c r="N9" i="1"/>
  <c r="N7" i="1"/>
  <c r="P7" i="1" s="1"/>
  <c r="M10" i="1"/>
  <c r="W12" i="1"/>
  <c r="R10" i="1"/>
  <c r="W8" i="1"/>
  <c r="M8" i="1"/>
  <c r="W6" i="1"/>
  <c r="N6" i="1"/>
  <c r="S6" i="1" s="1"/>
  <c r="M6" i="1"/>
  <c r="R9" i="1"/>
  <c r="W7" i="1"/>
  <c r="M12" i="1"/>
  <c r="R7" i="1"/>
  <c r="M11" i="1"/>
  <c r="N10" i="1"/>
  <c r="N8" i="1"/>
  <c r="W11" i="1"/>
  <c r="N11" i="1"/>
  <c r="S12" i="1"/>
  <c r="T12" i="1" s="1"/>
  <c r="P8" i="1" l="1"/>
  <c r="O8" i="1"/>
  <c r="O11" i="1"/>
  <c r="O10" i="1"/>
  <c r="P12" i="1"/>
  <c r="O12" i="1"/>
  <c r="P9" i="1"/>
  <c r="O9" i="1"/>
  <c r="P6" i="1"/>
  <c r="O6" i="1"/>
  <c r="O7" i="1"/>
  <c r="X6" i="1"/>
  <c r="Y6" i="1" s="1"/>
  <c r="T6" i="1"/>
  <c r="P11" i="1"/>
  <c r="P10" i="1"/>
  <c r="S7" i="1"/>
  <c r="X7" i="1" s="1"/>
  <c r="Y7" i="1" s="1"/>
  <c r="S8" i="1"/>
  <c r="T8" i="1" s="1"/>
  <c r="S11" i="1"/>
  <c r="T11" i="1" s="1"/>
  <c r="S10" i="1"/>
  <c r="T10" i="1" s="1"/>
  <c r="T7" i="1" l="1"/>
  <c r="X10" i="1"/>
  <c r="Y10" i="1" s="1"/>
  <c r="S9" i="1"/>
  <c r="T9" i="1" s="1"/>
  <c r="X11" i="1"/>
  <c r="Y11" i="1" s="1"/>
  <c r="X8" i="1"/>
  <c r="Y8" i="1" s="1"/>
  <c r="X12" i="1" l="1"/>
  <c r="Y12" i="1" s="1"/>
  <c r="X9" i="1"/>
  <c r="Y9" i="1" s="1"/>
</calcChain>
</file>

<file path=xl/sharedStrings.xml><?xml version="1.0" encoding="utf-8"?>
<sst xmlns="http://schemas.openxmlformats.org/spreadsheetml/2006/main" count="15" uniqueCount="13">
  <si>
    <t>spaceX</t>
  </si>
  <si>
    <t>div</t>
  </si>
  <si>
    <t>logstep</t>
  </si>
  <si>
    <t>stpscale</t>
  </si>
  <si>
    <t>limit?</t>
  </si>
  <si>
    <t>Tiny nat</t>
  </si>
  <si>
    <t>Tiny rnd</t>
  </si>
  <si>
    <t>Minor nat</t>
  </si>
  <si>
    <t>Minor rnd</t>
  </si>
  <si>
    <t>Major nat</t>
  </si>
  <si>
    <t>Major rnd</t>
  </si>
  <si>
    <t>truncdown?</t>
  </si>
  <si>
    <t>rounded?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</si>
</sst>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1DAF-ADB0-4F8E-A039-D98BE02EACDF}">
  <dimension ref="G5:Y12"/>
  <sheetViews>
    <sheetView tabSelected="1" topLeftCell="G1" zoomScale="133" zoomScaleNormal="139" workbookViewId="0">
      <selection activeCell="O10" sqref="O10"/>
    </sheetView>
  </sheetViews>
  <sheetFormatPr defaultRowHeight="14.4" x14ac:dyDescent="0.3"/>
  <cols>
    <col min="12" max="12" width="6.77734375" customWidth="1"/>
    <col min="17" max="17" width="1.44140625" customWidth="1"/>
    <col min="22" max="22" width="1.44140625" customWidth="1"/>
  </cols>
  <sheetData>
    <row r="5" spans="7:25" x14ac:dyDescent="0.3">
      <c r="G5" t="s">
        <v>0</v>
      </c>
      <c r="H5">
        <v>160</v>
      </c>
      <c r="J5" t="s">
        <v>2</v>
      </c>
      <c r="K5" t="s">
        <v>3</v>
      </c>
      <c r="M5" t="s">
        <v>5</v>
      </c>
      <c r="N5" t="s">
        <v>6</v>
      </c>
      <c r="O5" t="s">
        <v>12</v>
      </c>
      <c r="P5" t="s">
        <v>11</v>
      </c>
      <c r="R5" t="s">
        <v>7</v>
      </c>
      <c r="S5" t="s">
        <v>8</v>
      </c>
      <c r="T5" t="s">
        <v>12</v>
      </c>
      <c r="U5" t="s">
        <v>11</v>
      </c>
      <c r="W5" t="s">
        <v>9</v>
      </c>
      <c r="X5" t="s">
        <v>10</v>
      </c>
      <c r="Y5" t="s">
        <v>4</v>
      </c>
    </row>
    <row r="6" spans="7:25" x14ac:dyDescent="0.3">
      <c r="G6" t="s">
        <v>1</v>
      </c>
      <c r="H6">
        <v>5</v>
      </c>
      <c r="J6">
        <v>-3</v>
      </c>
      <c r="K6">
        <f>$H$6^-J6</f>
        <v>125</v>
      </c>
      <c r="M6">
        <f>$H$5*$K6/($H$6^2)</f>
        <v>800</v>
      </c>
      <c r="N6">
        <f>MAX(1,ROUND($H$5*$K6/($H$6^2),0))</f>
        <v>800</v>
      </c>
      <c r="O6" t="b">
        <f>M6&lt;&gt;N6</f>
        <v>0</v>
      </c>
      <c r="P6" t="b">
        <f>INT(M6)&lt;&gt;N6</f>
        <v>0</v>
      </c>
      <c r="R6">
        <f>$H$5*$K6/$H$6</f>
        <v>4000</v>
      </c>
      <c r="S6">
        <f>IF(R6,$H$6*N6,MAX(1,ROUND($H$5*$K6/$H$6,0)))</f>
        <v>4000</v>
      </c>
      <c r="T6" t="b">
        <f>R6&lt;&gt;S6</f>
        <v>0</v>
      </c>
      <c r="U6" t="b">
        <f>INT(R6)&lt;&gt;S6</f>
        <v>0</v>
      </c>
      <c r="W6">
        <f>$H$5*$K6</f>
        <v>20000</v>
      </c>
      <c r="X6">
        <f>IF(W6,$H$6*S6,MAX(1,ROUND($H$5*$K6,0)))</f>
        <v>20000</v>
      </c>
      <c r="Y6" t="b">
        <f>W6&lt;&gt;X6</f>
        <v>0</v>
      </c>
    </row>
    <row r="7" spans="7:25" x14ac:dyDescent="0.3">
      <c r="J7">
        <v>-2</v>
      </c>
      <c r="K7">
        <f t="shared" ref="K7:K12" si="0">$H$6^-J7</f>
        <v>25</v>
      </c>
      <c r="M7">
        <f>$H$5*$K7/($H$6^2)</f>
        <v>160</v>
      </c>
      <c r="N7">
        <f>MAX(1,ROUND($H$5*$K7/($H$6^2),0))</f>
        <v>160</v>
      </c>
      <c r="O7" t="b">
        <f t="shared" ref="O7:O12" si="1">M7&lt;&gt;N7</f>
        <v>0</v>
      </c>
      <c r="P7" t="b">
        <f t="shared" ref="P7:P12" si="2">INT(M7)&lt;&gt;N7</f>
        <v>0</v>
      </c>
      <c r="R7">
        <f>$H$5*$K7/$H$6</f>
        <v>800</v>
      </c>
      <c r="S7">
        <f>IF(R7,$H$6*N7,MAX(1,ROUND($H$5*$K7/$H$6,0)))</f>
        <v>800</v>
      </c>
      <c r="T7" t="b">
        <f t="shared" ref="T7:T12" si="3">R7&lt;&gt;S7</f>
        <v>0</v>
      </c>
      <c r="U7" t="b">
        <f t="shared" ref="U7:U12" si="4">INT(R7)&lt;&gt;S7</f>
        <v>0</v>
      </c>
      <c r="W7">
        <f>$H$5*$K7</f>
        <v>4000</v>
      </c>
      <c r="X7">
        <f>IF(W7,$H$6*S7,MAX(1,ROUND($H$5*$K7,0)))</f>
        <v>4000</v>
      </c>
      <c r="Y7" t="b">
        <f t="shared" ref="Y7:Y12" si="5">W7&lt;&gt;X7</f>
        <v>0</v>
      </c>
    </row>
    <row r="8" spans="7:25" x14ac:dyDescent="0.3">
      <c r="J8">
        <v>-1</v>
      </c>
      <c r="K8">
        <f t="shared" si="0"/>
        <v>5</v>
      </c>
      <c r="M8">
        <f>$H$5*$K8/($H$6^2)</f>
        <v>32</v>
      </c>
      <c r="N8">
        <f>MAX(1,ROUND($H$5*$K8/($H$6^2),0))</f>
        <v>32</v>
      </c>
      <c r="O8" t="b">
        <f t="shared" si="1"/>
        <v>0</v>
      </c>
      <c r="P8" t="b">
        <f t="shared" si="2"/>
        <v>0</v>
      </c>
      <c r="R8">
        <f>$H$5*$K8/$H$6</f>
        <v>160</v>
      </c>
      <c r="S8">
        <f>IF(R8,$H$6*N8,MAX(1,ROUND($H$5*$K8/$H$6,0)))</f>
        <v>160</v>
      </c>
      <c r="T8" t="b">
        <f t="shared" si="3"/>
        <v>0</v>
      </c>
      <c r="U8" t="b">
        <f t="shared" si="4"/>
        <v>0</v>
      </c>
      <c r="W8">
        <f>$H$5*$K8</f>
        <v>800</v>
      </c>
      <c r="X8">
        <f>IF(W8,$H$6*S8,MAX(1,ROUND($H$5*$K8,0)))</f>
        <v>800</v>
      </c>
      <c r="Y8" t="b">
        <f t="shared" si="5"/>
        <v>0</v>
      </c>
    </row>
    <row r="9" spans="7:25" x14ac:dyDescent="0.3">
      <c r="J9">
        <v>0</v>
      </c>
      <c r="K9">
        <f t="shared" si="0"/>
        <v>1</v>
      </c>
      <c r="M9">
        <f>$H$5*$K9/($H$6^2)</f>
        <v>6.4</v>
      </c>
      <c r="N9">
        <f>MAX(1,ROUND($H$5*$K9/($H$6^2),0))</f>
        <v>6</v>
      </c>
      <c r="O9" t="b">
        <f t="shared" si="1"/>
        <v>1</v>
      </c>
      <c r="P9" t="b">
        <f t="shared" si="2"/>
        <v>0</v>
      </c>
      <c r="R9">
        <f>$H$5*$K9/$H$6</f>
        <v>32</v>
      </c>
      <c r="S9">
        <f>IF(R9,$H$6*N9,MAX(1,ROUND($H$5*$K9/$H$6,0)))</f>
        <v>30</v>
      </c>
      <c r="T9" t="b">
        <f t="shared" si="3"/>
        <v>1</v>
      </c>
      <c r="U9" t="b">
        <f t="shared" si="4"/>
        <v>1</v>
      </c>
      <c r="W9">
        <f>$H$5*$K9</f>
        <v>160</v>
      </c>
      <c r="X9">
        <f>IF(W9,$H$6*S9,MAX(1,ROUND($H$5*$K9,0)))</f>
        <v>150</v>
      </c>
      <c r="Y9" t="b">
        <f t="shared" si="5"/>
        <v>1</v>
      </c>
    </row>
    <row r="10" spans="7:25" x14ac:dyDescent="0.3">
      <c r="J10">
        <v>1</v>
      </c>
      <c r="K10">
        <f t="shared" si="0"/>
        <v>0.2</v>
      </c>
      <c r="M10">
        <f>$H$5*$K10/($H$6^2)</f>
        <v>1.28</v>
      </c>
      <c r="N10">
        <f>MAX(1,ROUND($H$5*$K10/($H$6^2),0))</f>
        <v>1</v>
      </c>
      <c r="O10" t="b">
        <f t="shared" si="1"/>
        <v>1</v>
      </c>
      <c r="P10" t="b">
        <f t="shared" si="2"/>
        <v>0</v>
      </c>
      <c r="R10">
        <f>$H$5*$K10/$H$6</f>
        <v>6.4</v>
      </c>
      <c r="S10">
        <f>IF(R10,$H$6*N10,MAX(1,ROUND($H$5*$K10/$H$6,0)))</f>
        <v>5</v>
      </c>
      <c r="T10" t="b">
        <f t="shared" si="3"/>
        <v>1</v>
      </c>
      <c r="U10" t="b">
        <f t="shared" si="4"/>
        <v>1</v>
      </c>
      <c r="W10">
        <f>$H$5*$K10</f>
        <v>32</v>
      </c>
      <c r="X10">
        <f>IF(W10,$H$6*S10,MAX(1,ROUND($H$5*$K10,0)))</f>
        <v>25</v>
      </c>
      <c r="Y10" t="b">
        <f t="shared" si="5"/>
        <v>1</v>
      </c>
    </row>
    <row r="11" spans="7:25" x14ac:dyDescent="0.3">
      <c r="J11">
        <v>2</v>
      </c>
      <c r="K11">
        <f t="shared" si="0"/>
        <v>0.04</v>
      </c>
      <c r="M11">
        <f>$H$5*$K11/($H$6^2)</f>
        <v>0.25600000000000001</v>
      </c>
      <c r="N11">
        <f>MAX(1,ROUND($H$5*$K11/($H$6^2),0))</f>
        <v>1</v>
      </c>
      <c r="O11" t="b">
        <f t="shared" si="1"/>
        <v>1</v>
      </c>
      <c r="P11" t="b">
        <f t="shared" si="2"/>
        <v>1</v>
      </c>
      <c r="R11">
        <f>$H$5*$K11/$H$6</f>
        <v>1.28</v>
      </c>
      <c r="S11">
        <f>IF(R11,$H$6*N11,MAX(1,ROUND($H$5*$K11/$H$6,0)))</f>
        <v>5</v>
      </c>
      <c r="T11" t="b">
        <f t="shared" si="3"/>
        <v>1</v>
      </c>
      <c r="U11" t="b">
        <f t="shared" si="4"/>
        <v>1</v>
      </c>
      <c r="W11">
        <f>$H$5*$K11</f>
        <v>6.4</v>
      </c>
      <c r="X11">
        <f>IF(W11,$H$6*S11,MAX(1,ROUND($H$5*$K11,0)))</f>
        <v>25</v>
      </c>
      <c r="Y11" t="b">
        <f t="shared" si="5"/>
        <v>1</v>
      </c>
    </row>
    <row r="12" spans="7:25" x14ac:dyDescent="0.3">
      <c r="J12">
        <v>3</v>
      </c>
      <c r="K12">
        <f t="shared" si="0"/>
        <v>8.0000000000000002E-3</v>
      </c>
      <c r="M12">
        <f>$H$5*$K12/($H$6^2)</f>
        <v>5.1200000000000002E-2</v>
      </c>
      <c r="N12">
        <f>MAX(1,ROUND($H$5*$K12/($H$6^2),0))</f>
        <v>1</v>
      </c>
      <c r="O12" t="b">
        <f t="shared" si="1"/>
        <v>1</v>
      </c>
      <c r="P12" t="b">
        <f t="shared" si="2"/>
        <v>1</v>
      </c>
      <c r="R12">
        <f>$H$5*$K12/$H$6</f>
        <v>0.25600000000000001</v>
      </c>
      <c r="S12">
        <f>IF(R12,$H$6*N12,MAX(1,ROUND($H$5*$K12/$H$6,0)))</f>
        <v>5</v>
      </c>
      <c r="T12" t="b">
        <f t="shared" si="3"/>
        <v>1</v>
      </c>
      <c r="U12" t="b">
        <f t="shared" si="4"/>
        <v>1</v>
      </c>
      <c r="W12">
        <f>$H$5*$K12</f>
        <v>1.28</v>
      </c>
      <c r="X12">
        <f>IF(W12,$H$6*S12,MAX(1,ROUND($H$5*$K12,0)))</f>
        <v>25</v>
      </c>
      <c r="Y12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Schwager</dc:creator>
  <cp:lastModifiedBy>Michael Schwager</cp:lastModifiedBy>
  <dcterms:created xsi:type="dcterms:W3CDTF">2025-11-03T04:54:51Z</dcterms:created>
  <dcterms:modified xsi:type="dcterms:W3CDTF">2025-11-03T15:37:31Z</dcterms:modified>
</cp:coreProperties>
</file>